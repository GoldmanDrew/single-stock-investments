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96db0d84a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6473bbcff754455"/>
    <x:sheet xmlns:r="http://schemas.openxmlformats.org/officeDocument/2006/relationships" name="Inputs" sheetId="2" r:id="R82327702ae314a29"/>
    <x:sheet xmlns:r="http://schemas.openxmlformats.org/officeDocument/2006/relationships" name="CAFD" sheetId="3" r:id="R85362eba34514983"/>
    <x:sheet xmlns:r="http://schemas.openxmlformats.org/officeDocument/2006/relationships" name="PDP DCF" sheetId="4" r:id="R7a8a241fe34e403a"/>
    <x:sheet xmlns:r="http://schemas.openxmlformats.org/officeDocument/2006/relationships" name="Development NAV" sheetId="5" r:id="Ree985286a1af40bf"/>
    <x:sheet xmlns:r="http://schemas.openxmlformats.org/officeDocument/2006/relationships" name="Reverse Valuation" sheetId="6" r:id="R19d5c53edc574319"/>
    <x:sheet xmlns:r="http://schemas.openxmlformats.org/officeDocument/2006/relationships" name="Transactions &amp; Peers" sheetId="7" r:id="R0dd01d45d8454eff"/>
    <x:sheet xmlns:r="http://schemas.openxmlformats.org/officeDocument/2006/relationships" name="Checks" sheetId="8" r:id="Rb8dfa508e58b4645"/>
    <x:sheet xmlns:r="http://schemas.openxmlformats.org/officeDocument/2006/relationships" name="Sources &amp; Audit" sheetId="9" r:id="Re1c3396aca0c4bb1"/>
    <x:sheet xmlns:r="http://schemas.openxmlformats.org/officeDocument/2006/relationships" name="Capital Allocation" sheetId="10" r:id="R08bda9245f2747aa"/>
  </x:sheets>
</x:workbook>
</file>

<file path=xl/comments1.xml><?xml version="1.0" encoding="utf-8"?>
<x:comments xmlns:x="http://schemas.openxmlformats.org/spreadsheetml/2006/main">
  <x:authors>
    <x:author>tc={46877AF2-FC3E-65FF-5244-1D22AC745460}</x:author>
    <x:author>tc={201237E2-4B2C-1395-AB19-8A720F008A4D}</x:author>
    <x:author>tc={608B4E65-4544-D094-5FE1-30FCD558EF9F}</x:author>
    <x:author>tc={DED47A9E-F459-52EA-5BD1-1D25F6394012}</x:author>
  </x:authors>
  <x:commentList>
    <x:comment ref="B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F2: WHK 424B4, Pro Forma FY2025 CAFD reconciliation, $36.317m.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F3: WHK 424B4 management-fee adjustment footnote: $13.6m Liquidity Incentive Fee.</x:t>
        </x:r>
      </x:text>
    </x:comment>
    <x:comment ref="B1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F6: WHK 424B4 summary reserve data: 178,544 MMcfe PDP reserves at 2025-12-31.</x:t>
        </x:r>
      </x:text>
    </x:comment>
    <x:comment ref="B1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F9: WHK 424B4 summary reserve data: $293.690m PV-10.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$0.00;[Red]($0.00);-"/>
    <x:numFmt numFmtId="201" formatCode="0.0%;[Red](0.0%);-"/>
    <x:numFmt numFmtId="202" formatCode="0.0x;[Red](0.0x);-"/>
    <x:numFmt numFmtId="203" formatCode="#,##0.000;[Red](#,##0.000);-"/>
    <x:numFmt numFmtId="204" formatCode="$#,##0.000;[Red]($#,##0.000);-"/>
    <x:numFmt numFmtId="205" formatCode="$0.0000;[Red]($0.0000);-"/>
    <x:numFmt numFmtId="206" formatCode="0.000x;[Red](0.000x);-"/>
    <x:numFmt numFmtId="207" formatCode="#,##0.0;[Red](#,##0.0);-"/>
    <x:numFmt numFmtId="208" formatCode="$#,##0.0;[Red]($#,##0.0);-"/>
    <x:numFmt numFmtId="209" formatCode="#,##0;[Red](#,##0);-"/>
    <x:numFmt numFmtId="210" formatCode="0.00x;[Red](0.00x);-"/>
    <x:numFmt numFmtId="211" formatCode="$#,##0;[Red]($#,##0);-"/>
    <x:numFmt numFmtId="212" formatCode="$0.000;[Red]($0.000);-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4"/>
      <x:name val="Carlito"/>
    </x:font>
    <x:font>
      <x:sz val="11"/>
      <x:color rgb="FFFF0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double">
        <x:color rgb="FF17365D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6" borderId="1" xfId="0" applyNumberFormat="1" applyFont="1" applyFill="1" applyBorder="1"/>
    <x:xf numFmtId="0" fontId="6" fillId="6" borderId="1" xfId="0" applyNumberFormat="1" applyFont="1" applyFill="1" applyBorder="1"/>
    <x:xf numFmtId="200" fontId="6" fillId="6" borderId="1" xfId="0" applyNumberFormat="1" applyFont="1" applyFill="1" applyBorder="1"/>
    <x:xf numFmtId="201" fontId="6" fillId="6" borderId="1" xfId="0" applyNumberFormat="1" applyFont="1" applyFill="1" applyBorder="1"/>
    <x:xf numFmtId="202" fontId="6" fillId="6" borderId="1" xfId="0" applyNumberFormat="1" applyFont="1" applyFill="1" applyBorder="1"/>
    <x:xf numFmtId="203" fontId="6" fillId="6" borderId="1" xfId="0" applyNumberFormat="1" applyFont="1" applyFill="1" applyBorder="1"/>
    <x:xf numFmtId="204" fontId="5" fillId="0" borderId="1" xfId="0" applyNumberFormat="1" applyFont="1" applyFill="1" applyBorder="1"/>
    <x:xf numFmtId="201" fontId="5" fillId="0" borderId="1" xfId="0" applyNumberFormat="1" applyFont="1" applyFill="1" applyBorder="1"/>
    <x:xf numFmtId="205" fontId="5" fillId="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204" fontId="8" fillId="0" borderId="1" xfId="0" applyNumberFormat="1" applyFont="1" applyFill="1" applyBorder="1"/>
    <x:xf numFmtId="200" fontId="8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  <x:xf numFmtId="204" fontId="8" fillId="0" borderId="1" xfId="0" applyNumberFormat="1" applyFont="1" applyFill="1" applyBorder="1" applyAlignment="1">
      <x:alignment wrapText="1"/>
    </x:xf>
    <x:xf numFmtId="204" fontId="5" fillId="0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3" fontId="8" fillId="0" borderId="1" xfId="0" applyNumberFormat="1" applyFont="1" applyFill="1" applyBorder="1"/>
    <x:xf numFmtId="206" fontId="8" fillId="0" borderId="1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/>
    <x:xf numFmtId="207" fontId="8" fillId="0" borderId="1" xfId="0" applyNumberFormat="1" applyFont="1" applyFill="1" applyBorder="1"/>
    <x:xf numFmtId="208" fontId="8" fillId="0" borderId="1" xfId="0" applyNumberFormat="1" applyFont="1" applyFill="1" applyBorder="1"/>
    <x:xf numFmtId="0" fontId="5" fillId="8" borderId="1" xfId="0" applyNumberFormat="1" applyFont="1" applyFill="1" applyBorder="1"/>
    <x:xf numFmtId="203" fontId="8" fillId="8" borderId="1" xfId="0" applyNumberFormat="1" applyFont="1" applyFill="1" applyBorder="1"/>
    <x:xf numFmtId="207" fontId="8" fillId="8" borderId="1" xfId="0" applyNumberFormat="1" applyFont="1" applyFill="1" applyBorder="1"/>
    <x:xf numFmtId="208" fontId="8" fillId="8" borderId="1" xfId="0" applyNumberFormat="1" applyFont="1" applyFill="1" applyBorder="1"/>
    <x:xf numFmtId="0" fontId="4" fillId="8" borderId="1" xfId="0" applyNumberFormat="1" applyFont="1" applyFill="1" applyBorder="1"/>
    <x:xf numFmtId="203" fontId="9" fillId="8" borderId="1" xfId="0" applyNumberFormat="1" applyFont="1" applyFill="1" applyBorder="1"/>
    <x:xf numFmtId="207" fontId="9" fillId="8" borderId="1" xfId="0" applyNumberFormat="1" applyFont="1" applyFill="1" applyBorder="1"/>
    <x:xf numFmtId="208" fontId="9" fillId="8" borderId="1" xfId="0" applyNumberFormat="1" applyFont="1" applyFill="1" applyBorder="1"/>
    <x:xf numFmtId="0" fontId="4" fillId="8" borderId="2" xfId="0" applyNumberFormat="1" applyFont="1" applyFill="1" applyBorder="1"/>
    <x:xf numFmtId="203" fontId="9" fillId="8" borderId="2" xfId="0" applyNumberFormat="1" applyFont="1" applyFill="1" applyBorder="1"/>
    <x:xf numFmtId="207" fontId="9" fillId="8" borderId="2" xfId="0" applyNumberFormat="1" applyFont="1" applyFill="1" applyBorder="1"/>
    <x:xf numFmtId="208" fontId="9" fillId="8" borderId="2" xfId="0" applyNumberFormat="1" applyFont="1" applyFill="1" applyBorder="1"/>
    <x:xf numFmtId="201" fontId="8" fillId="0" borderId="1" xfId="0" applyNumberFormat="1" applyFont="1" applyFill="1" applyBorder="1"/>
    <x:xf numFmtId="0" fontId="3" fillId="4" borderId="1" xfId="0" applyNumberFormat="1" applyFont="1" applyFill="1" applyBorder="1"/>
    <x:xf numFmtId="207" fontId="5" fillId="0" borderId="1" xfId="0" applyNumberFormat="1" applyFont="1" applyFill="1" applyBorder="1"/>
    <x:xf numFmtId="209" fontId="5" fillId="0" borderId="1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210" fontId="8" fillId="0" borderId="1" xfId="0" applyNumberFormat="1" applyFont="1" applyFill="1" applyBorder="1"/>
    <x:xf numFmtId="209" fontId="6" fillId="6" borderId="1" xfId="0" applyNumberFormat="1" applyFont="1" applyFill="1" applyBorder="1"/>
    <x:xf numFmtId="208" fontId="5" fillId="0" borderId="1" xfId="0" applyNumberFormat="1" applyFont="1" applyFill="1" applyBorder="1"/>
    <x:xf numFmtId="210" fontId="5" fillId="0" borderId="1" xfId="0" applyNumberFormat="1" applyFont="1" applyFill="1" applyBorder="1"/>
    <x:xf numFmtId="211" fontId="5" fillId="0" borderId="1" xfId="0" applyNumberFormat="1" applyFont="1" applyFill="1" applyBorder="1"/>
    <x:xf numFmtId="203" fontId="9" fillId="8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horizont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3" fontId="6" fillId="6" borderId="1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202" fontId="6" fillId="6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204" fontId="8" fillId="0" borderId="1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/>
    </x:xf>
    <x:xf numFmtId="203" fontId="8" fillId="0" borderId="1" xfId="0" applyNumberFormat="1" applyFont="1" applyFill="1" applyBorder="1" applyAlignment="1">
      <x:alignment vertical="center"/>
    </x:xf>
    <x:xf numFmtId="206" fontId="8" fillId="0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7" fontId="8" fillId="0" borderId="1" xfId="0" applyNumberFormat="1" applyFont="1" applyFill="1" applyBorder="1" applyAlignment="1">
      <x:alignment vertical="center"/>
    </x:xf>
    <x:xf numFmtId="208" fontId="8" fillId="0" borderId="1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vertical="center"/>
    </x:xf>
    <x:xf numFmtId="203" fontId="9" fillId="8" borderId="2" xfId="0" applyNumberFormat="1" applyFont="1" applyFill="1" applyBorder="1" applyAlignment="1">
      <x:alignment vertical="center"/>
    </x:xf>
    <x:xf numFmtId="207" fontId="9" fillId="8" borderId="2" xfId="0" applyNumberFormat="1" applyFont="1" applyFill="1" applyBorder="1" applyAlignment="1">
      <x:alignment vertical="center"/>
    </x:xf>
    <x:xf numFmtId="208" fontId="9" fillId="8" borderId="2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7" fontId="5" fillId="0" borderId="1" xfId="0" applyNumberFormat="1" applyFont="1" applyFill="1" applyBorder="1" applyAlignment="1">
      <x:alignment vertical="center"/>
    </x:xf>
    <x:xf numFmtId="209" fontId="5" fillId="0" borderId="1" xfId="0" applyNumberFormat="1" applyFont="1" applyFill="1" applyBorder="1" applyAlignment="1">
      <x:alignment vertical="center"/>
    </x:xf>
    <x:xf numFmtId="210" fontId="8" fillId="0" borderId="1" xfId="0" applyNumberFormat="1" applyFont="1" applyFill="1" applyBorder="1" applyAlignment="1">
      <x:alignment vertical="center"/>
    </x:xf>
    <x:xf numFmtId="209" fontId="6" fillId="6" borderId="1" xfId="0" applyNumberFormat="1" applyFont="1" applyFill="1" applyBorder="1" applyAlignment="1">
      <x:alignment vertical="center"/>
    </x:xf>
    <x:xf numFmtId="208" fontId="5" fillId="0" borderId="1" xfId="0" applyNumberFormat="1" applyFont="1" applyFill="1" applyBorder="1" applyAlignment="1">
      <x:alignment vertical="center"/>
    </x:xf>
    <x:xf numFmtId="210" fontId="5" fillId="0" borderId="1" xfId="0" applyNumberFormat="1" applyFont="1" applyFill="1" applyBorder="1" applyAlignment="1">
      <x:alignment vertical="center"/>
    </x:xf>
    <x:xf numFmtId="211" fontId="5" fillId="0" borderId="1" xfId="0" applyNumberFormat="1" applyFont="1" applyFill="1" applyBorder="1" applyAlignment="1">
      <x:alignment vertical="center"/>
    </x:xf>
    <x:xf numFmtId="203" fontId="9" fillId="8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3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1" xfId="0" applyNumberFormat="1" applyFont="1" applyFill="1" applyBorder="1"/>
    <x:xf numFmtId="0" fontId="7" fillId="12" borderId="1" xfId="0" applyNumberFormat="1" applyFont="1" applyFill="1" applyBorder="1" applyAlignment="1">
      <x:alignment wrapText="1"/>
    </x:xf>
    <x:xf numFmtId="0" fontId="7" fillId="12" borderId="1" xfId="0" applyNumberFormat="1" applyFont="1" applyFill="1" applyBorder="1" applyAlignment="1">
      <x:alignment horizont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6" fillId="10" borderId="1" xfId="0" applyNumberFormat="1" applyFont="1" applyFill="1" applyBorder="1"/>
    <x:xf numFmtId="201" fontId="6" fillId="10" borderId="1" xfId="0" applyNumberFormat="1" applyFont="1" applyFill="1" applyBorder="1"/>
    <x:xf numFmtId="208" fontId="6" fillId="10" borderId="1" xfId="0" applyNumberFormat="1" applyFont="1" applyFill="1" applyBorder="1"/>
    <x:xf numFmtId="209" fontId="6" fillId="10" borderId="1" xfId="0" applyNumberFormat="1" applyFont="1" applyFill="1" applyBorder="1"/>
    <x:xf numFmtId="0" fontId="0" fillId="12" borderId="1" xfId="0" applyNumberFormat="1" applyFont="1" applyFill="1" applyBorder="1"/>
    <x:xf numFmtId="0" fontId="0" fillId="12" borderId="1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1" xfId="0" applyNumberFormat="1" applyFont="1" applyFill="1" applyBorder="1"/>
    <x:xf numFmtId="0" fontId="7" fillId="13" borderId="1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/>
    <x:xf numFmtId="200" fontId="8" fillId="6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12" fontId="8" fillId="0" borderId="1" xfId="0" applyNumberFormat="1" applyFont="1" applyFill="1" applyBorder="1" applyAlignment="1">
      <x:alignment vertical="center"/>
    </x:xf>
    <x:xf numFmtId="0" fontId="0" fillId="14" borderId="1" xfId="0" applyNumberFormat="1" applyFont="1" applyFill="1" applyBorder="1" applyAlignment="1">
      <x:alignment vertical="center"/>
    </x:xf>
    <x:xf numFmtId="0" fontId="7" fillId="14" borderId="1" xfId="0" applyNumberFormat="1" applyFont="1" applyFill="1" applyBorder="1" applyAlignment="1">
      <x:alignment vertical="center"/>
    </x:xf>
    <x:xf numFmtId="0" fontId="7" fillId="1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9d1472ca24ad5" /><Relationship Type="http://schemas.openxmlformats.org/officeDocument/2006/relationships/theme" Target="/xl/theme/theme1.xml" Id="Rb0742b3479bd4f3c" /><Relationship Type="http://schemas.openxmlformats.org/officeDocument/2006/relationships/sharedStrings" Target="/xl/sharedStrings.xml" Id="R91ae1fa300844d87" /><Relationship Type="http://schemas.openxmlformats.org/officeDocument/2006/relationships/worksheet" Target="/xl/worksheets/sheet1.xml" Id="R76473bbcff754455" /><Relationship Type="http://schemas.openxmlformats.org/officeDocument/2006/relationships/worksheet" Target="/xl/worksheets/sheet2.xml" Id="R82327702ae314a29" /><Relationship Type="http://schemas.openxmlformats.org/officeDocument/2006/relationships/worksheet" Target="/xl/worksheets/sheet3.xml" Id="R85362eba34514983" /><Relationship Type="http://schemas.openxmlformats.org/officeDocument/2006/relationships/worksheet" Target="/xl/worksheets/sheet4.xml" Id="R7a8a241fe34e403a" /><Relationship Type="http://schemas.openxmlformats.org/officeDocument/2006/relationships/worksheet" Target="/xl/worksheets/sheet5.xml" Id="Ree985286a1af40bf" /><Relationship Type="http://schemas.openxmlformats.org/officeDocument/2006/relationships/worksheet" Target="/xl/worksheets/sheet6.xml" Id="R19d5c53edc574319" /><Relationship Type="http://schemas.openxmlformats.org/officeDocument/2006/relationships/worksheet" Target="/xl/worksheets/sheet7.xml" Id="R0dd01d45d8454eff" /><Relationship Type="http://schemas.openxmlformats.org/officeDocument/2006/relationships/worksheet" Target="/xl/worksheets/sheet8.xml" Id="Rb8dfa508e58b4645" /><Relationship Type="http://schemas.openxmlformats.org/officeDocument/2006/relationships/worksheet" Target="/xl/worksheets/sheet9.xml" Id="Re1c3396aca0c4bb1" /><Relationship Type="http://schemas.openxmlformats.org/officeDocument/2006/relationships/worksheet" Target="/xl/worksheets/sheet10.xml" Id="R08bda9245f2747aa" /><Relationship Type="http://schemas.microsoft.com/office/2017/10/relationships/person" Target="/xl/persons/person.xml" Id="R7fa3ad7312294aed" /></Relationships>
</file>

<file path=xl/persons/person.xml><?xml version="1.0" encoding="utf-8"?>
<xltc:personList xmlns:xltc="http://schemas.microsoft.com/office/spreadsheetml/2018/threadedcomments">
  <xltc:person displayName="Drew" id="{68CFAA0F-80B7-40BC-A85E-D9D1435A3BA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0" dT="2026-08-12T16:59:35.223" personId="{68CFAA0F-80B7-40BC-A85E-D9D1435A3BA6}" id="{46877AF2-FC3E-65FF-5244-1D22AC745460}">
    <xltc:text>Source F2: WHK 424B4, Pro Forma FY2025 CAFD reconciliation, $36.317m.</xltc:text>
  </xltc:threadedComment>
  <xltc:threadedComment ref="B11" dT="2026-08-12T16:59:35.224" personId="{68CFAA0F-80B7-40BC-A85E-D9D1435A3BA6}" id="{201237E2-4B2C-1395-AB19-8A720F008A4D}">
    <xltc:text>Source F3: WHK 424B4 management-fee adjustment footnote: $13.6m Liquidity Incentive Fee.</xltc:text>
  </xltc:threadedComment>
  <xltc:threadedComment ref="B14" dT="2026-08-12T16:59:35.224" personId="{68CFAA0F-80B7-40BC-A85E-D9D1435A3BA6}" id="{608B4E65-4544-D094-5FE1-30FCD558EF9F}">
    <xltc:text>Source F6: WHK 424B4 summary reserve data: 178,544 MMcfe PDP reserves at 2025-12-31.</xltc:text>
  </xltc:threadedComment>
  <xltc:threadedComment ref="B19" dT="2026-08-12T16:59:35.224" personId="{68CFAA0F-80B7-40BC-A85E-D9D1435A3BA6}" id="{DED47A9E-F459-52EA-5BD1-1D25F6394012}">
    <xltc:text>Source F9: WHK 424B4 summary reserve data: $293.690m PV-10.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362cbcb49c64b3b" /><Relationship Type="http://schemas.openxmlformats.org/officeDocument/2006/relationships/vmlDrawing" Target="/xl/drawings/vmldrawing.vml" Id="R7beb6f38aac04f44" /><Relationship Type="http://schemas.microsoft.com/office/2017/10/relationships/threadedComment" Target="/xl/threadedcomments/threadedcomment.xml" Id="R501e93f23ecf43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19" hidden="0" customWidth="1"/>
    <x:col min="5" max="5" width="18" hidden="0" customWidth="1"/>
    <x:col min="6" max="6" width="18" hidden="0" customWidth="1"/>
    <x:col min="7" max="7" width="23" hidden="0" customWidth="1"/>
    <x:col min="8" max="8" width="34" hidden="0" customWidth="1"/>
  </x:cols>
  <x:sheetData>
    <x:row r="1" ht="28" customHeight="1">
      <x:c r="A1" s="4" t="str">
        <x:v>WhiteHawk Energy Holdings (WHK) - Complete Valuation Reconciliation</x:v>
      </x:c>
      <x:c r="B1" s="4" t="str">
        <x:v>WhiteHawk Energy Holdings (WHK) - Complete Valuation Reconciliation</x:v>
      </x:c>
      <x:c r="C1" s="4" t="str">
        <x:v>WhiteHawk Energy Holdings (WHK) - Complete Valuation Reconciliation</x:v>
      </x:c>
      <x:c r="D1" s="4" t="str">
        <x:v>WhiteHawk Energy Holdings (WHK) - Complete Valuation Reconciliation</x:v>
      </x:c>
      <x:c r="E1" s="4" t="str">
        <x:v>WhiteHawk Energy Holdings (WHK) - Complete Valuation Reconciliation</x:v>
      </x:c>
      <x:c r="F1" s="4" t="str">
        <x:v>WhiteHawk Energy Holdings (WHK) - Complete Valuation Reconciliation</x:v>
      </x:c>
      <x:c r="G1" s="4" t="str">
        <x:v>WhiteHawk Energy Holdings (WHK) - Complete Valuation Reconciliation</x:v>
      </x:c>
      <x:c r="H1" s="4" t="str">
        <x:v>WhiteHawk Energy Holdings (WHK) - Complete Valuation Reconciliation</x:v>
      </x:c>
    </x:row>
    <x:row r="2">
      <x:c r="A2" s="93" t="str">
        <x:v>As of</x:v>
      </x:c>
      <x:c r="B2" s="93" t="str">
        <x:v>2026-08-12</x:v>
      </x:c>
      <x:c r="C2" s="93" t="str">
        <x:v>Model status</x:v>
      </x:c>
      <x:c r="D2" s="93" t="str">
        <x:v>Conditional: calculations tie; tract/permit evidence outstanding</x:v>
      </x:c>
      <x:c r="E2" s="93" t="str">
        <x:v>Currency</x:v>
      </x:c>
      <x:c r="F2" s="93" t="str">
        <x:v>USD millions except per share</x:v>
      </x:c>
      <x:c r="G2" s="93" t="str">
        <x:v>Version</x:v>
      </x:c>
      <x:c r="H2" s="93" t="str">
        <x:v>1.0</x:v>
      </x:c>
    </x:row>
    <x:row r="3">
      <x:c r="A3" s="94"/>
      <x:c r="B3" s="94"/>
      <x:c r="C3" s="94"/>
      <x:c r="D3" s="94"/>
      <x:c r="E3" s="94"/>
      <x:c r="F3" s="94"/>
      <x:c r="G3" s="94"/>
      <x:c r="H3" s="94"/>
    </x:row>
    <x:row r="4">
      <x:c r="A4" s="11" t="str">
        <x:v>Decision dashboard</x:v>
      </x:c>
      <x:c r="B4" s="11" t="str">
        <x:v>Decision dashboard</x:v>
      </x:c>
      <x:c r="C4" s="11" t="str">
        <x:v>Decision dashboard</x:v>
      </x:c>
      <x:c r="D4" s="11" t="str">
        <x:v>Decision dashboard</x:v>
      </x:c>
      <x:c r="E4" s="11" t="str">
        <x:v>Decision dashboard</x:v>
      </x:c>
      <x:c r="F4" s="11" t="str">
        <x:v>Decision dashboard</x:v>
      </x:c>
      <x:c r="G4" s="11" t="str">
        <x:v>Decision dashboard</x:v>
      </x:c>
      <x:c r="H4" s="11" t="str">
        <x:v>Decision dashboard</x:v>
      </x:c>
    </x:row>
    <x:row r="5">
      <x:c r="A5" s="17" t="str">
        <x:v>Reference price</x:v>
      </x:c>
      <x:c r="B5" s="17" t="str">
        <x:v>Recurring CAFD</x:v>
      </x:c>
      <x:c r="C5" s="17" t="str">
        <x:v>PDP DCF / share</x:v>
      </x:c>
      <x:c r="D5" s="17" t="str">
        <x:v>Dated inventory NAV / share</x:v>
      </x:c>
      <x:c r="E5" s="17" t="str">
        <x:v>Capital allocation</x:v>
      </x:c>
      <x:c r="F5" s="17" t="str">
        <x:v>Model value / share</x:v>
      </x:c>
      <x:c r="G5" s="17" t="str">
        <x:v>Gap to market</x:v>
      </x:c>
      <x:c r="H5" s="17" t="str">
        <x:v>Evidence status</x:v>
      </x:c>
    </x:row>
    <x:row r="6">
      <x:c r="A6" s="107" t="n">
        <x:f>'Inputs'!B6</x:f>
        <x:v>26.16</x:v>
      </x:c>
      <x:c r="B6" s="112" t="n">
        <x:f>'Inputs'!B29</x:f>
        <x:v>22.717</x:v>
      </x:c>
      <x:c r="C6" s="107" t="n">
        <x:f>'PDP DCF'!D5</x:f>
        <x:v>2.9845116798178464</x:v>
      </x:c>
      <x:c r="D6" s="107" t="n">
        <x:f>'Development NAV'!B42</x:f>
        <x:v>8.987377915102748</x:v>
      </x:c>
      <x:c r="E6" s="107" t="n">
        <x:f>'Inputs'!B25</x:f>
        <x:v>2.105836710707234</x:v>
      </x:c>
      <x:c r="F6" s="107" t="n">
        <x:f>'Reverse Valuation'!E8</x:f>
        <x:v>14.077726305627827</x:v>
      </x:c>
      <x:c r="G6" s="107" t="n">
        <x:f>'Reverse Valuation'!F8</x:f>
        <x:v>12.082273694372173</x:v>
      </x:c>
      <x:c r="H6" s="129" t="str">
        <x:f>'Checks'!E10</x:f>
        <x:v>OPEN</x:v>
      </x:c>
    </x:row>
    <x:row r="7">
      <x:c r="A7" s="94"/>
      <x:c r="B7" s="94"/>
      <x:c r="C7" s="94"/>
      <x:c r="D7" s="94"/>
      <x:c r="E7" s="94"/>
      <x:c r="F7" s="94"/>
      <x:c r="G7" s="94"/>
      <x:c r="H7" s="94"/>
    </x:row>
    <x:row r="8">
      <x:c r="A8" s="11" t="str">
        <x:v>What the model says</x:v>
      </x:c>
      <x:c r="B8" s="11" t="str">
        <x:v>What the model says</x:v>
      </x:c>
      <x:c r="C8" s="11" t="str">
        <x:v>What the model says</x:v>
      </x:c>
      <x:c r="D8" s="11" t="str">
        <x:v>What the model says</x:v>
      </x:c>
      <x:c r="E8" s="11" t="str">
        <x:v>What the model says</x:v>
      </x:c>
      <x:c r="F8" s="11" t="str">
        <x:v>What the model says</x:v>
      </x:c>
      <x:c r="G8" s="11" t="str">
        <x:v>What the model says</x:v>
      </x:c>
      <x:c r="H8" s="11" t="str">
        <x:v>What the model says</x:v>
      </x:c>
    </x:row>
    <x:row r="9">
      <x:c r="A9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B9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C9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D9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E9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F9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G9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H9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</x:row>
    <x:row r="10">
      <x:c r="A10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B10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C10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D10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E10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F10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G10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H10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</x:row>
    <x:row r="11">
      <x:c r="A11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B11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C11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D11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E11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F11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G11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H11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</x:row>
    <x:row r="12">
      <x:c r="A12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B12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C12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D12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E12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F12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G12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  <x:c r="H12" s="50" t="str">
        <x:v>The model now separates owned-asset value from a finite capital-allocation franchise. The active platform case assumes 25% of existing PDP cash is retained, $50m of externally funded acquisitions per year for ten years, and 15% net NPV created per purchase dollar after financing, tax and dilution. That contributes a formula-driven $2.11/share, lifting active value to roughly $14.08/share. The $26.16 reference price still requires either greater scale, stronger persistent acquisition alpha, more net inventory, better unit economics, or a combination.</x:v>
      </x:c>
    </x:row>
    <x:row r="13">
      <x:c r="A13" s="94"/>
      <x:c r="B13" s="94"/>
      <x:c r="C13" s="94"/>
      <x:c r="D13" s="94"/>
      <x:c r="E13" s="94"/>
      <x:c r="F13" s="94"/>
      <x:c r="G13" s="94"/>
      <x:c r="H13" s="94"/>
    </x:row>
    <x:row r="14">
      <x:c r="A14" s="11" t="str">
        <x:v>How to use the workbook</x:v>
      </x:c>
      <x:c r="B14" s="11" t="str">
        <x:v>How to use the workbook</x:v>
      </x:c>
      <x:c r="C14" s="11" t="str">
        <x:v>How to use the workbook</x:v>
      </x:c>
      <x:c r="D14" s="11" t="str">
        <x:v>How to use the workbook</x:v>
      </x:c>
      <x:c r="E14" s="11" t="str">
        <x:v>How to use the workbook</x:v>
      </x:c>
      <x:c r="F14" s="11" t="str">
        <x:v>How to use the workbook</x:v>
      </x:c>
      <x:c r="G14" s="11" t="str">
        <x:v>How to use the workbook</x:v>
      </x:c>
      <x:c r="H14" s="11" t="str">
        <x:v>How to use the workbook</x:v>
      </x:c>
    </x:row>
    <x:row r="15">
      <x:c r="A15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B15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C15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D15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E15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F15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G15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H15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</x:row>
    <x:row r="16">
      <x:c r="A16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B16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C16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D16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E16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F16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G16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H16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</x:row>
    <x:row r="17">
      <x:c r="A17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B17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C17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D17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E17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F17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G17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H17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</x:row>
    <x:row r="18">
      <x:c r="A18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B18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C18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D18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E18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F18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G18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H18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</x:row>
    <x:row r="19">
      <x:c r="A19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B19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C19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D19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E19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F19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G19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  <x:c r="H19" s="92" t="str">
        <x:v>1. Change only yellow/blue input cells.  2. Read the CAFD bridge before relying on a cash-flow run rate.  3. Use Development NAV to test pace, EUR and timing.  4. Use Reverse Valuation to see the economic burden embedded in the price.  5. Treat Transactions &amp; Peers as normalized evidence, not a multiple average.  6. Do not promote the operator proxy to acreage fact until permits and tract intersections are loaded.</x:v>
      </x:c>
    </x:row>
    <x:row r="20">
      <x:c r="A20" s="94"/>
      <x:c r="B20" s="94"/>
      <x:c r="C20" s="94"/>
      <x:c r="D20" s="94"/>
      <x:c r="E20" s="94"/>
      <x:c r="F20" s="94"/>
      <x:c r="G20" s="94"/>
      <x:c r="H20" s="94"/>
    </x:row>
    <x:row r="21">
      <x:c r="A21" s="11" t="str">
        <x:v>Core valuation cases</x:v>
      </x:c>
      <x:c r="B21" s="11" t="str">
        <x:v>Core valuation cases</x:v>
      </x:c>
      <x:c r="C21" s="11" t="str">
        <x:v>Core valuation cases</x:v>
      </x:c>
      <x:c r="D21" s="11" t="str">
        <x:v>Core valuation cases</x:v>
      </x:c>
      <x:c r="E21" s="11" t="str">
        <x:v>Core valuation cases</x:v>
      </x:c>
      <x:c r="F21" s="11" t="str">
        <x:v>Core valuation cases</x:v>
      </x:c>
      <x:c r="G21" s="11" t="str">
        <x:v>Core valuation cases</x:v>
      </x:c>
      <x:c r="H21" s="11" t="str">
        <x:v>Core valuation cases</x:v>
      </x:c>
    </x:row>
    <x:row r="22">
      <x:c r="A22" s="17" t="str">
        <x:v>Case</x:v>
      </x:c>
      <x:c r="B22" s="17" t="str">
        <x:v>PDP / share</x:v>
      </x:c>
      <x:c r="C22" s="17" t="str">
        <x:v>Inventory / share</x:v>
      </x:c>
      <x:c r="D22" s="17" t="str">
        <x:v>Capital allocation</x:v>
      </x:c>
      <x:c r="E22" s="17" t="str">
        <x:v>Value / share</x:v>
      </x:c>
      <x:c r="F22" s="17" t="str">
        <x:v>Gap to market</x:v>
      </x:c>
      <x:c r="G22" s="17" t="str">
        <x:v>Implied unit multiplier</x:v>
      </x:c>
      <x:c r="H22" s="94"/>
    </x:row>
    <x:row r="23">
      <x:c r="A23" s="107" t="str">
        <x:f>'Reverse Valuation'!A6</x:f>
        <x:v>Existing contract</x:v>
      </x:c>
      <x:c r="B23" s="107" t="n">
        <x:f>'Reverse Valuation'!B6</x:f>
        <x:v>5.0024104845087</x:v>
      </x:c>
      <x:c r="C23" s="107" t="n">
        <x:f>'Reverse Valuation'!C6</x:f>
        <x:v>3.75540722423934</x:v>
      </x:c>
      <x:c r="D23" s="107" t="n">
        <x:f>'Reverse Valuation'!D6</x:f>
        <x:v>0</x:v>
      </x:c>
      <x:c r="E23" s="107" t="n">
        <x:f>'Reverse Valuation'!E6</x:f>
        <x:v>8.757817708748039</x:v>
      </x:c>
      <x:c r="F23" s="107" t="n">
        <x:f>'Reverse Valuation'!F6</x:f>
        <x:v>17.40218229125196</x:v>
      </x:c>
      <x:c r="G23" s="121" t="n">
        <x:f>'Reverse Valuation'!G6</x:f>
        <x:v>5.63390020100331</x:v>
      </x:c>
      <x:c r="H23" s="94"/>
    </x:row>
    <x:row r="24">
      <x:c r="A24" s="107" t="str">
        <x:f>'Reverse Valuation'!A7</x:f>
        <x:v>Legacy CAFD + dated 411-TIL schedule</x:v>
      </x:c>
      <x:c r="B24" s="107" t="n">
        <x:f>'Reverse Valuation'!B7</x:f>
        <x:v>5.0024104845087</x:v>
      </x:c>
      <x:c r="C24" s="107" t="n">
        <x:f>'Reverse Valuation'!C7</x:f>
        <x:v>8.987377915102748</x:v>
      </x:c>
      <x:c r="D24" s="107" t="n">
        <x:f>'Reverse Valuation'!D7</x:f>
        <x:v>2.105836710707234</x:v>
      </x:c>
      <x:c r="E24" s="107" t="n">
        <x:f>'Reverse Valuation'!E7</x:f>
        <x:v>16.095625110318682</x:v>
      </x:c>
      <x:c r="F24" s="107" t="n">
        <x:f>'Reverse Valuation'!F7</x:f>
        <x:v>10.064374889681318</x:v>
      </x:c>
      <x:c r="G24" s="121" t="n">
        <x:f>'Reverse Valuation'!G7</x:f>
        <x:v>2.119834392717451</x:v>
      </x:c>
      <x:c r="H24" s="94"/>
    </x:row>
    <x:row r="25">
      <x:c r="A25" s="107" t="str">
        <x:f>'Reverse Valuation'!A8</x:f>
        <x:v>Recurring CAFD + dated 411-TIL schedule</x:v>
      </x:c>
      <x:c r="B25" s="107" t="n">
        <x:f>'Reverse Valuation'!B8</x:f>
        <x:v>2.9845116798178464</x:v>
      </x:c>
      <x:c r="C25" s="107" t="n">
        <x:f>'Reverse Valuation'!C8</x:f>
        <x:v>8.987377915102748</x:v>
      </x:c>
      <x:c r="D25" s="107" t="n">
        <x:f>'Reverse Valuation'!D8</x:f>
        <x:v>2.105836710707234</x:v>
      </x:c>
      <x:c r="E25" s="107" t="n">
        <x:f>'Reverse Valuation'!E8</x:f>
        <x:v>14.077726305627827</x:v>
      </x:c>
      <x:c r="F25" s="107" t="n">
        <x:f>'Reverse Valuation'!F8</x:f>
        <x:v>12.082273694372173</x:v>
      </x:c>
      <x:c r="G25" s="121" t="n">
        <x:f>'Reverse Valuation'!G8</x:f>
        <x:v>2.3443602581870557</x:v>
      </x:c>
      <x:c r="H25" s="94"/>
    </x:row>
  </x:sheetData>
  <x:mergeCells>
    <x:mergeCell ref="A1:H1"/>
    <x:mergeCell ref="A4:H4"/>
    <x:mergeCell ref="A8:H8"/>
    <x:mergeCell ref="A9:H12"/>
    <x:mergeCell ref="A14:H14"/>
    <x:mergeCell ref="A15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10" hidden="0" customWidth="1"/>
    <x:col min="6" max="6" width="52" hidden="0" customWidth="1"/>
  </x:cols>
  <x:sheetData>
    <x:row r="1" ht="28" customHeight="1">
      <x:c r="A1" s="4" t="str">
        <x:v>WhiteHawk Energy Holdings (WHK) - Valuation Inputs</x:v>
      </x:c>
      <x:c r="B1" s="4" t="str">
        <x:v>WhiteHawk Energy Holdings (WHK) - Valuation Inputs</x:v>
      </x:c>
      <x:c r="C1" s="4" t="str">
        <x:v>WhiteHawk Energy Holdings (WHK) - Valuation Inputs</x:v>
      </x:c>
      <x:c r="D1" s="4" t="str">
        <x:v>WhiteHawk Energy Holdings (WHK) - Valuation Inputs</x:v>
      </x:c>
      <x:c r="E1" s="4" t="str">
        <x:v>WhiteHawk Energy Holdings (WHK) - Valuation Inputs</x:v>
      </x:c>
      <x:c r="F1" s="4" t="str">
        <x:v>WhiteHawk Energy Holdings (WHK) - Valuation Inputs</x:v>
      </x:c>
    </x:row>
    <x:row r="2">
      <x:c r="A2" s="93" t="str">
        <x:v>As of</x:v>
      </x:c>
      <x:c r="B2" s="93" t="str">
        <x:v>2026-08-12</x:v>
      </x:c>
      <x:c r="C2" s="93" t="str">
        <x:v>Currency</x:v>
      </x:c>
      <x:c r="D2" s="93" t="str">
        <x:v>USD millions except per-share data</x:v>
      </x:c>
      <x:c r="E2" s="93" t="str">
        <x:v>Convention</x:v>
      </x:c>
      <x:c r="F2" s="93" t="str">
        <x:v>Blue font / yellow fill = editable assumption</x:v>
      </x:c>
    </x:row>
    <x:row r="3">
      <x:c r="A3" s="94"/>
      <x:c r="B3" s="94"/>
      <x:c r="C3" s="94"/>
      <x:c r="D3" s="94"/>
      <x:c r="E3" s="94"/>
      <x:c r="F3" s="94"/>
    </x:row>
    <x:row r="4">
      <x:c r="A4" s="11" t="str">
        <x:v>Market, ownership, cash-flow, reserve and timing inputs</x:v>
      </x:c>
      <x:c r="B4" s="11" t="str">
        <x:v>Market, ownership, cash-flow, reserve and timing inputs</x:v>
      </x:c>
      <x:c r="C4" s="11" t="str">
        <x:v>Market, ownership, cash-flow, reserve and timing inputs</x:v>
      </x:c>
      <x:c r="D4" s="11" t="str">
        <x:v>Market, ownership, cash-flow, reserve and timing inputs</x:v>
      </x:c>
      <x:c r="E4" s="11" t="str">
        <x:v>Market, ownership, cash-flow, reserve and timing inputs</x:v>
      </x:c>
      <x:c r="F4" s="11" t="str">
        <x:v>Market, ownership, cash-flow, reserve and timing inputs</x:v>
      </x:c>
    </x:row>
    <x:row r="5">
      <x:c r="A5" s="17" t="str">
        <x:v>Input</x:v>
      </x:c>
      <x:c r="B5" s="17" t="str">
        <x:v>Value</x:v>
      </x:c>
      <x:c r="C5" s="17" t="str">
        <x:v>Units</x:v>
      </x:c>
      <x:c r="D5" s="17" t="str">
        <x:v>Classification</x:v>
      </x:c>
      <x:c r="E5" s="17" t="str">
        <x:v>Source ID</x:v>
      </x:c>
      <x:c r="F5" s="17" t="str">
        <x:v>Notes</x:v>
      </x:c>
    </x:row>
    <x:row r="6">
      <x:c r="A6" s="95" t="str">
        <x:v>Reference share price</x:v>
      </x:c>
      <x:c r="B6" s="96" t="n">
        <x:v>26.16</x:v>
      </x:c>
      <x:c r="C6" s="95" t="str">
        <x:v>USD/share</x:v>
      </x:c>
      <x:c r="D6" s="95" t="str">
        <x:v>Market reference</x:v>
      </x:c>
      <x:c r="E6" s="95" t="str">
        <x:v>M1</x:v>
      </x:c>
      <x:c r="F6" s="95" t="str">
        <x:v>Existing contract reference price; editable</x:v>
      </x:c>
    </x:row>
    <x:row r="7">
      <x:c r="A7" s="95" t="str">
        <x:v>Class A shares outstanding</x:v>
      </x:c>
      <x:c r="B7" s="97" t="n">
        <x:v>22.996579</x:v>
      </x:c>
      <x:c r="C7" s="95" t="str">
        <x:v>million shares</x:v>
      </x:c>
      <x:c r="D7" s="95" t="str">
        <x:v>Filing fact</x:v>
      </x:c>
      <x:c r="E7" s="95" t="str">
        <x:v>F1</x:v>
      </x:c>
      <x:c r="F7" s="95" t="str">
        <x:v>One-for-one with Company-held OpCo interests</x:v>
      </x:c>
    </x:row>
    <x:row r="8">
      <x:c r="A8" s="95" t="str">
        <x:v>Company economic ownership after earnout</x:v>
      </x:c>
      <x:c r="B8" s="98" t="n">
        <x:v>0.821407</x:v>
      </x:c>
      <x:c r="C8" s="95" t="str">
        <x:v>%</x:v>
      </x:c>
      <x:c r="D8" s="95" t="str">
        <x:v>Judgment</x:v>
      </x:c>
      <x:c r="E8" s="95" t="str">
        <x:v>J1</x:v>
      </x:c>
      <x:c r="F8" s="95" t="str">
        <x:v>Base assumes 1.25m earnout units are issued</x:v>
      </x:c>
    </x:row>
    <x:row r="9">
      <x:c r="A9" s="95" t="str">
        <x:v>Whole-claim value at reference price</x:v>
      </x:c>
      <x:c r="B9" s="97" t="n">
        <x:v>795</x:v>
      </x:c>
      <x:c r="C9" s="95" t="str">
        <x:v>USD million</x:v>
      </x:c>
      <x:c r="D9" s="95" t="str">
        <x:v>Derived</x:v>
      </x:c>
      <x:c r="E9" s="95" t="str">
        <x:v>D1</x:v>
      </x:c>
      <x:c r="F9" s="95" t="str">
        <x:v>Approximate common claim plus net debt and Series B preferred</x:v>
      </x:c>
    </x:row>
    <x:row r="10">
      <x:c r="A10" s="95" t="str">
        <x:v>Pro forma FY2025 CAFD</x:v>
      </x:c>
      <x:c r="B10" s="97" t="n">
        <x:v>36.317</x:v>
      </x:c>
      <x:c r="C10" s="95" t="str">
        <x:v>USD million</x:v>
      </x:c>
      <x:c r="D10" s="95" t="str">
        <x:v>Filing fact</x:v>
      </x:c>
      <x:c r="E10" s="95" t="str">
        <x:v>F2</x:v>
      </x:c>
      <x:c r="F10" s="95" t="str">
        <x:v>Management non-GAAP CAFD reconciliation</x:v>
      </x:c>
    </x:row>
    <x:row r="11">
      <x:c r="A11" s="95" t="str">
        <x:v>Liquidity Incentive Fee add-back</x:v>
      </x:c>
      <x:c r="B11" s="97" t="n">
        <x:v>13.6</x:v>
      </x:c>
      <x:c r="C11" s="95" t="str">
        <x:v>USD million</x:v>
      </x:c>
      <x:c r="D11" s="95" t="str">
        <x:v>Filing fact</x:v>
      </x:c>
      <x:c r="E11" s="95" t="str">
        <x:v>F3</x:v>
      </x:c>
      <x:c r="F11" s="95" t="str">
        <x:v>Transaction/IPO item; removed in first-pass recurring CAFD</x:v>
      </x:c>
    </x:row>
    <x:row r="12">
      <x:c r="A12" s="95" t="str">
        <x:v>FY2025 transaction-cost add-back</x:v>
      </x:c>
      <x:c r="B12" s="97" t="n">
        <x:v>11.596</x:v>
      </x:c>
      <x:c r="C12" s="95" t="str">
        <x:v>USD million</x:v>
      </x:c>
      <x:c r="D12" s="95" t="str">
        <x:v>Filing fact</x:v>
      </x:c>
      <x:c r="E12" s="95" t="str">
        <x:v>F4</x:v>
      </x:c>
      <x:c r="F12" s="95" t="str">
        <x:v>Retained in first pass; steady-state treatment remains an open decision</x:v>
      </x:c>
    </x:row>
    <x:row r="13">
      <x:c r="A13" s="95" t="str">
        <x:v>Pro forma Q1 2026 CAFD</x:v>
      </x:c>
      <x:c r="B13" s="97" t="n">
        <x:v>9.959</x:v>
      </x:c>
      <x:c r="C13" s="95" t="str">
        <x:v>USD million</x:v>
      </x:c>
      <x:c r="D13" s="95" t="str">
        <x:v>Filing fact</x:v>
      </x:c>
      <x:c r="E13" s="95" t="str">
        <x:v>F5</x:v>
      </x:c>
      <x:c r="F13" s="95" t="str">
        <x:v>Do not annualize without removing one-time fee effect</x:v>
      </x:c>
    </x:row>
    <x:row r="14">
      <x:c r="A14" s="95" t="str">
        <x:v>Proved PDP reserves</x:v>
      </x:c>
      <x:c r="B14" s="97" t="n">
        <x:v>178.544</x:v>
      </x:c>
      <x:c r="C14" s="95" t="str">
        <x:v>Bcfe</x:v>
      </x:c>
      <x:c r="D14" s="95" t="str">
        <x:v>Filing fact</x:v>
      </x:c>
      <x:c r="E14" s="95" t="str">
        <x:v>F6</x:v>
      </x:c>
      <x:c r="F14" s="95" t="str">
        <x:v>At 2025-12-31</x:v>
      </x:c>
    </x:row>
    <x:row r="15">
      <x:c r="A15" s="95" t="str">
        <x:v>Q1 2026 annualized production</x:v>
      </x:c>
      <x:c r="B15" s="97" t="n">
        <x:v>23.459</x:v>
      </x:c>
      <x:c r="C15" s="95" t="str">
        <x:v>Bcfe/year</x:v>
      </x:c>
      <x:c r="D15" s="95" t="str">
        <x:v>Derived fact</x:v>
      </x:c>
      <x:c r="E15" s="95" t="str">
        <x:v>F7</x:v>
      </x:c>
      <x:c r="F15" s="95" t="str">
        <x:v>64,270 Mcfe/d x 365 / 1,000</x:v>
      </x:c>
    </x:row>
    <x:row r="16">
      <x:c r="A16" s="95" t="str">
        <x:v>PDP annual decline</x:v>
      </x:c>
      <x:c r="B16" s="98" t="n">
        <x:v>0.135</x:v>
      </x:c>
      <x:c r="C16" s="95" t="str">
        <x:v>%</x:v>
      </x:c>
      <x:c r="D16" s="95" t="str">
        <x:v>Derived judgment</x:v>
      </x:c>
      <x:c r="E16" s="95" t="str">
        <x:v>J2</x:v>
      </x:c>
      <x:c r="F16" s="95" t="str">
        <x:v>Reserve-life guardrail, not a fitted field decline curve</x:v>
      </x:c>
    </x:row>
    <x:row r="17">
      <x:c r="A17" s="95" t="str">
        <x:v>Required return / discount rate</x:v>
      </x:c>
      <x:c r="B17" s="98" t="n">
        <x:v>0.1</x:v>
      </x:c>
      <x:c r="C17" s="95" t="str">
        <x:v>%</x:v>
      </x:c>
      <x:c r="D17" s="95" t="str">
        <x:v>Judgment</x:v>
      </x:c>
      <x:c r="E17" s="95" t="str">
        <x:v>J3</x:v>
      </x:c>
      <x:c r="F17" s="95" t="str">
        <x:v>Matches PV-10 convention for base case</x:v>
      </x:c>
    </x:row>
    <x:row r="18">
      <x:c r="A18" s="95" t="str">
        <x:v>Total proved reserves</x:v>
      </x:c>
      <x:c r="B18" s="97" t="n">
        <x:v>206.473</x:v>
      </x:c>
      <x:c r="C18" s="95" t="str">
        <x:v>Bcfe</x:v>
      </x:c>
      <x:c r="D18" s="95" t="str">
        <x:v>Filing fact</x:v>
      </x:c>
      <x:c r="E18" s="95" t="str">
        <x:v>F8</x:v>
      </x:c>
      <x:c r="F18" s="95" t="str">
        <x:v>At 2025-12-31</x:v>
      </x:c>
    </x:row>
    <x:row r="19">
      <x:c r="A19" s="95" t="str">
        <x:v>PV-10</x:v>
      </x:c>
      <x:c r="B19" s="97" t="n">
        <x:v>293.69</x:v>
      </x:c>
      <x:c r="C19" s="95" t="str">
        <x:v>USD million</x:v>
      </x:c>
      <x:c r="D19" s="95" t="str">
        <x:v>Filing fact</x:v>
      </x:c>
      <x:c r="E19" s="95" t="str">
        <x:v>F9</x:v>
      </x:c>
      <x:c r="F19" s="95" t="str">
        <x:v>SEC price deck: $3.387/MMBtu Henry Hub</x:v>
      </x:c>
    </x:row>
    <x:row r="20">
      <x:c r="A20" s="95" t="str">
        <x:v>Standardized measure</x:v>
      </x:c>
      <x:c r="B20" s="97" t="n">
        <x:v>266.326</x:v>
      </x:c>
      <x:c r="C20" s="95" t="str">
        <x:v>USD million</x:v>
      </x:c>
      <x:c r="D20" s="95" t="str">
        <x:v>Filing fact</x:v>
      </x:c>
      <x:c r="E20" s="95" t="str">
        <x:v>F10</x:v>
      </x:c>
      <x:c r="F20" s="95" t="str">
        <x:v>Used only as an after-tax proxy</x:v>
      </x:c>
    </x:row>
    <x:row r="21">
      <x:c r="A21" s="95" t="str">
        <x:v>SEC Henry Hub price deck</x:v>
      </x:c>
      <x:c r="B21" s="97" t="n">
        <x:v>3.387</x:v>
      </x:c>
      <x:c r="C21" s="95" t="str">
        <x:v>USD/MMBtu</x:v>
      </x:c>
      <x:c r="D21" s="95" t="str">
        <x:v>Filing fact</x:v>
      </x:c>
      <x:c r="E21" s="95" t="str">
        <x:v>F11</x:v>
      </x:c>
      <x:c r="F21" s="95" t="str">
        <x:v>12-month average SEC pricing assumption</x:v>
      </x:c>
    </x:row>
    <x:row r="22">
      <x:c r="A22" s="95" t="str">
        <x:v>Observed gross wells TIL in 2025</x:v>
      </x:c>
      <x:c r="B22" s="97" t="n">
        <x:v>411</x:v>
      </x:c>
      <x:c r="C22" s="95" t="str">
        <x:v>gross wells/year</x:v>
      </x:c>
      <x:c r="D22" s="95" t="str">
        <x:v>Filing fact</x:v>
      </x:c>
      <x:c r="E22" s="95" t="str">
        <x:v>F12</x:v>
      </x:c>
      <x:c r="F22" s="95" t="str">
        <x:v>Portfolio-wide historical activity; not forward guidance</x:v>
      </x:c>
    </x:row>
    <x:row r="23">
      <x:c r="A23" s="95" t="str">
        <x:v>Gross undeveloped locations</x:v>
      </x:c>
      <x:c r="B23" s="97" t="n">
        <x:v>8783</x:v>
      </x:c>
      <x:c r="C23" s="95" t="str">
        <x:v>gross locations</x:v>
      </x:c>
      <x:c r="D23" s="95" t="str">
        <x:v>Filing fact</x:v>
      </x:c>
      <x:c r="E23" s="95" t="str">
        <x:v>F13</x:v>
      </x:c>
      <x:c r="F23" s="95" t="str">
        <x:v>430 in proved reserves plus 8,353 other locations</x:v>
      </x:c>
    </x:row>
    <x:row r="24">
      <x:c r="A24" s="95" t="str">
        <x:v>Gas/PV-10 unit-economics multiplier</x:v>
      </x:c>
      <x:c r="B24" s="99" t="n">
        <x:v>1</x:v>
      </x:c>
      <x:c r="C24" s="95" t="str">
        <x:v>x</x:v>
      </x:c>
      <x:c r="D24" s="95" t="str">
        <x:v>Judgment</x:v>
      </x:c>
      <x:c r="E24" s="95" t="str">
        <x:v>J4</x:v>
      </x:c>
      <x:c r="F24" s="95" t="str">
        <x:v>Linear stress input; not a gas-price forecast</x:v>
      </x:c>
    </x:row>
    <x:row r="25">
      <x:c r="A25" s="95" t="str">
        <x:v>Capital-allocation franchise value</x:v>
      </x:c>
      <x:c r="B25" s="162" t="n">
        <x:f>'Capital Allocation'!B46</x:f>
        <x:v>2.105836710707234</x:v>
      </x:c>
      <x:c r="C25" s="95" t="str">
        <x:v>USD/share</x:v>
      </x:c>
      <x:c r="D25" s="95" t="str">
        <x:v>Formula</x:v>
      </x:c>
      <x:c r="E25" s="95" t="str">
        <x:v>CA1</x:v>
      </x:c>
      <x:c r="F25" s="95" t="str">
        <x:v>Separate finite franchise-NPV schedule; excludes value of merely fair acquisitions</x:v>
      </x:c>
    </x:row>
    <x:row r="26">
      <x:c r="A26" s="94"/>
      <x:c r="B26" s="94"/>
      <x:c r="C26" s="94"/>
      <x:c r="D26" s="94"/>
      <x:c r="E26" s="94"/>
      <x:c r="F26" s="94"/>
    </x:row>
    <x:row r="27">
      <x:c r="A27" s="94"/>
      <x:c r="B27" s="94"/>
      <x:c r="C27" s="94"/>
      <x:c r="D27" s="94"/>
      <x:c r="E27" s="94"/>
      <x:c r="F27" s="94"/>
    </x:row>
    <x:row r="28">
      <x:c r="A28" s="11" t="str">
        <x:v>Derived inputs - formula driven</x:v>
      </x:c>
      <x:c r="B28" s="11" t="str">
        <x:v>Derived inputs - formula driven</x:v>
      </x:c>
      <x:c r="C28" s="11" t="str">
        <x:v>Derived inputs - formula driven</x:v>
      </x:c>
      <x:c r="D28" s="11" t="str">
        <x:v>Derived inputs - formula driven</x:v>
      </x:c>
      <x:c r="E28" s="11" t="str">
        <x:v>Derived inputs - formula driven</x:v>
      </x:c>
      <x:c r="F28" s="11" t="str">
        <x:v>Derived inputs - formula driven</x:v>
      </x:c>
    </x:row>
    <x:row r="29">
      <x:c r="A29" s="95" t="str">
        <x:v>First-pass recurring CAFD</x:v>
      </x:c>
      <x:c r="B29" s="100" t="n">
        <x:f>B10-B11</x:f>
        <x:v>22.717</x:v>
      </x:c>
      <x:c r="C29" s="95" t="str">
        <x:v>USD million</x:v>
      </x:c>
      <x:c r="D29" s="95" t="str">
        <x:v>Formula</x:v>
      </x:c>
      <x:c r="E29" s="95" t="str">
        <x:v>C1</x:v>
      </x:c>
      <x:c r="F29" s="95" t="str">
        <x:v>Reported FY2025 CAFD less Liquidity Incentive Fee only</x:v>
      </x:c>
    </x:row>
    <x:row r="30">
      <x:c r="A30" s="95" t="str">
        <x:v>Legacy midpoint CAFD</x:v>
      </x:c>
      <x:c r="B30" s="100" t="n">
        <x:f>(B10+B13*4)/2</x:f>
        <x:v>38.076499999999996</x:v>
      </x:c>
      <x:c r="C30" s="95" t="str">
        <x:v>USD million</x:v>
      </x:c>
      <x:c r="D30" s="95" t="str">
        <x:v>Formula</x:v>
      </x:c>
      <x:c r="E30" s="95" t="str">
        <x:v>C2</x:v>
      </x:c>
      <x:c r="F30" s="95" t="str">
        <x:v>Midpoint of FY2025 pro forma CAFD and Q1 annualized CAFD</x:v>
      </x:c>
    </x:row>
    <x:row r="31">
      <x:c r="A31" s="95" t="str">
        <x:v>After-tax PV-10 factor</x:v>
      </x:c>
      <x:c r="B31" s="101" t="n">
        <x:f>B20/B19</x:f>
        <x:v>0.9068269263509143</x:v>
      </x:c>
      <x:c r="C31" s="95" t="str">
        <x:v>%</x:v>
      </x:c>
      <x:c r="D31" s="95" t="str">
        <x:v>Formula</x:v>
      </x:c>
      <x:c r="E31" s="95" t="str">
        <x:v>C3</x:v>
      </x:c>
      <x:c r="F31" s="95" t="str">
        <x:v>Standardized measure / PV-10</x:v>
      </x:c>
    </x:row>
    <x:row r="32">
      <x:c r="A32" s="95" t="str">
        <x:v>PV-10 unit value</x:v>
      </x:c>
      <x:c r="B32" s="102" t="n">
        <x:f>B19/(B18*1000)</x:f>
        <x:v>0.001422413584342747</x:v>
      </x:c>
      <x:c r="C32" s="95" t="str">
        <x:v>USD million / MMcfe</x:v>
      </x:c>
      <x:c r="D32" s="95" t="str">
        <x:v>Formula</x:v>
      </x:c>
      <x:c r="E32" s="95" t="str">
        <x:v>C4</x:v>
      </x:c>
      <x:c r="F32" s="95" t="str">
        <x:v>PV-10 / total proved reserves; equals about $1.42/Mcfe</x:v>
      </x:c>
    </x:row>
    <x:row r="33">
      <x:c r="A33" s="94"/>
      <x:c r="B33" s="94"/>
      <x:c r="C33" s="94"/>
      <x:c r="D33" s="94"/>
      <x:c r="E33" s="94"/>
      <x:c r="F33" s="94"/>
    </x:row>
    <x:row r="34">
      <x:c r="A34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B34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C34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D34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E34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F34" s="33" t="str">
        <x:v>Important: $38.076m is retained only as a legacy/reported-pro-forma comparator. The active valuation uses first-pass recurring CAFD of $22.717m. Transaction costs and recurring corporate costs remain visible open decisions.</x:v>
      </x:c>
    </x:row>
    <x:row r="35">
      <x:c r="A35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B35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C35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D35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E35" s="33" t="str">
        <x:v>Important: $38.076m is retained only as a legacy/reported-pro-forma comparator. The active valuation uses first-pass recurring CAFD of $22.717m. Transaction costs and recurring corporate costs remain visible open decisions.</x:v>
      </x:c>
      <x:c r="F35" s="33" t="str">
        <x:v>Important: $38.076m is retained only as a legacy/reported-pro-forma comparator. The active valuation uses first-pass recurring CAFD of $22.717m. Transaction costs and recurring corporate costs remain visible open decisions.</x:v>
      </x:c>
    </x:row>
  </x:sheetData>
  <x:mergeCells>
    <x:mergeCell ref="A1:F1"/>
    <x:mergeCell ref="A4:F4"/>
    <x:mergeCell ref="A28:F28"/>
    <x:mergeCell ref="A34:F35"/>
  </x:mergeCells>
  <x:pageMargins left="0.7" right="0.7" top="0.75" bottom="0.75" header="0.3" footer="0.3"/>
  <x:legacyDrawing xmlns:r="http://schemas.openxmlformats.org/officeDocument/2006/relationships" r:id="R7beb6f38aac04f4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20" hidden="0" customWidth="1"/>
    <x:col min="4" max="4" width="35" hidden="0" customWidth="1"/>
    <x:col min="5" max="5" width="14" hidden="0" customWidth="1"/>
    <x:col min="6" max="6" width="38" hidden="0" customWidth="1"/>
  </x:cols>
  <x:sheetData>
    <x:row r="1" ht="28" customHeight="1">
      <x:c r="A1" s="4" t="str">
        <x:v>Recurring CAFD Bridge</x:v>
      </x:c>
      <x:c r="B1" s="4" t="str">
        <x:v>Recurring CAFD Bridge</x:v>
      </x:c>
      <x:c r="C1" s="4" t="str">
        <x:v>Recurring CAFD Bridge</x:v>
      </x:c>
      <x:c r="D1" s="4" t="str">
        <x:v>Recurring CAFD Bridge</x:v>
      </x:c>
      <x:c r="E1" s="4" t="str">
        <x:v>Recurring CAFD Bridge</x:v>
      </x:c>
      <x:c r="F1" s="4" t="str">
        <x:v>Recurring CAFD Bridge</x:v>
      </x:c>
    </x:row>
    <x:row r="2">
      <x:c r="A2" s="94"/>
      <x:c r="B2" s="94"/>
      <x:c r="C2" s="94"/>
      <x:c r="D2" s="94"/>
      <x:c r="E2" s="94"/>
      <x:c r="F2" s="94"/>
    </x:row>
    <x:row r="3">
      <x:c r="A3" s="11" t="str">
        <x:v>Reconciliation</x:v>
      </x:c>
      <x:c r="B3" s="11" t="str">
        <x:v>Reconciliation</x:v>
      </x:c>
      <x:c r="C3" s="11" t="str">
        <x:v>Reconciliation</x:v>
      </x:c>
      <x:c r="D3" s="11" t="str">
        <x:v>Reconciliation</x:v>
      </x:c>
      <x:c r="E3" s="11" t="str">
        <x:v>Reconciliation</x:v>
      </x:c>
      <x:c r="F3" s="11" t="str">
        <x:v>Reconciliation</x:v>
      </x:c>
    </x:row>
    <x:row r="4">
      <x:c r="A4" s="17" t="str">
        <x:v>Line item</x:v>
      </x:c>
      <x:c r="B4" s="17" t="str">
        <x:v>USD million</x:v>
      </x:c>
      <x:c r="C4" s="17" t="str">
        <x:v>Treatment</x:v>
      </x:c>
      <x:c r="D4" s="17" t="str">
        <x:v>Why it matters</x:v>
      </x:c>
      <x:c r="E4" s="17" t="str">
        <x:v>Source ID</x:v>
      </x:c>
      <x:c r="F4" s="17" t="str">
        <x:v>Status</x:v>
      </x:c>
    </x:row>
    <x:row r="5">
      <x:c r="A5" s="103" t="str">
        <x:v>Reported pro forma FY2025 CAFD</x:v>
      </x:c>
      <x:c r="B5" s="104" t="n">
        <x:f>'Inputs'!B10</x:f>
        <x:v>36.317</x:v>
      </x:c>
      <x:c r="C5" s="103" t="str">
        <x:v>Start point</x:v>
      </x:c>
      <x:c r="D5" s="103" t="str">
        <x:v>Management-reported non-GAAP cash measure</x:v>
      </x:c>
      <x:c r="E5" s="103" t="str">
        <x:v>F2</x:v>
      </x:c>
      <x:c r="F5" s="103" t="str">
        <x:v>Reported</x:v>
      </x:c>
    </x:row>
    <x:row r="6">
      <x:c r="A6" s="103" t="str">
        <x:v>Less: Liquidity Incentive Fee add-back</x:v>
      </x:c>
      <x:c r="B6" s="104" t="n">
        <x:f>-'Inputs'!B11</x:f>
        <x:v>-13.6</x:v>
      </x:c>
      <x:c r="C6" s="103" t="str">
        <x:v>Remove</x:v>
      </x:c>
      <x:c r="D6" s="103" t="str">
        <x:v>Transaction/IPO item, not a recurring operating cash saving</x:v>
      </x:c>
      <x:c r="E6" s="103" t="str">
        <x:v>F3</x:v>
      </x:c>
      <x:c r="F6" s="103" t="str">
        <x:v>Removed</x:v>
      </x:c>
    </x:row>
    <x:row r="7">
      <x:c r="A7" s="103" t="str">
        <x:v>First-pass recurring CAFD</x:v>
      </x:c>
      <x:c r="B7" s="104" t="n">
        <x:f>SUM(B5:B6)</x:f>
        <x:v>22.717</x:v>
      </x:c>
      <x:c r="C7" s="103" t="str">
        <x:v>Active base</x:v>
      </x:c>
      <x:c r="D7" s="103" t="str">
        <x:v>Reported CAFD less disclosed one-time Liquidity Incentive Fee</x:v>
      </x:c>
      <x:c r="E7" s="103" t="str">
        <x:v>C1</x:v>
      </x:c>
      <x:c r="F7" s="103" t="str">
        <x:v>Provisional</x:v>
      </x:c>
    </x:row>
    <x:row r="8">
      <x:c r="A8" s="103" t="str">
        <x:v>FY2025 transaction-cost add-back</x:v>
      </x:c>
      <x:c r="B8" s="104" t="n">
        <x:f>'Inputs'!B12</x:f>
        <x:v>11.596</x:v>
      </x:c>
      <x:c r="C8" s="103" t="str">
        <x:v>Open decision</x:v>
      </x:c>
      <x:c r="D8" s="103" t="str">
        <x:v>Included in reported CAFD but not necessarily steady-state</x:v>
      </x:c>
      <x:c r="E8" s="103" t="str">
        <x:v>F4</x:v>
      </x:c>
      <x:c r="F8" s="103" t="str">
        <x:v>Open</x:v>
      </x:c>
    </x:row>
    <x:row r="9">
      <x:c r="A9" s="103" t="str">
        <x:v>Legacy midpoint CAFD</x:v>
      </x:c>
      <x:c r="B9" s="104" t="n">
        <x:f>'Inputs'!B30</x:f>
        <x:v>38.076499999999996</x:v>
      </x:c>
      <x:c r="C9" s="103" t="str">
        <x:v>Comparator only</x:v>
      </x:c>
      <x:c r="D9" s="103" t="str">
        <x:v>Average FY2025 CAFD and annualized Q1 CAFD; not active base</x:v>
      </x:c>
      <x:c r="E9" s="103" t="str">
        <x:v>C2</x:v>
      </x:c>
      <x:c r="F9" s="103" t="str">
        <x:v>Legacy</x:v>
      </x:c>
    </x:row>
    <x:row r="10">
      <x:c r="A10" s="103" t="str">
        <x:v>Internalization net operating benefit</x:v>
      </x:c>
      <x:c r="B10" s="105" t="n">
        <x:v>8.2</x:v>
      </x:c>
      <x:c r="C10" s="103" t="str">
        <x:v>Context</x:v>
      </x:c>
      <x:c r="D10" s="103" t="str">
        <x:v>$6.2m base + $3.7m dividend incentive less $1.7m compensation</x:v>
      </x:c>
      <x:c r="E10" s="103" t="str">
        <x:v>F3</x:v>
      </x:c>
      <x:c r="F10" s="103" t="str">
        <x:v>Context only</x:v>
      </x:c>
    </x:row>
    <x:row r="11">
      <x:c r="A11" s="94"/>
      <x:c r="B11" s="94"/>
      <x:c r="C11" s="94"/>
      <x:c r="D11" s="94"/>
      <x:c r="E11" s="94"/>
      <x:c r="F11" s="94"/>
    </x:row>
    <x:row r="12">
      <x:c r="A12" s="11" t="str">
        <x:v>Per-share cash flow and valuation impact</x:v>
      </x:c>
      <x:c r="B12" s="11" t="str">
        <x:v>Per-share cash flow and valuation impact</x:v>
      </x:c>
      <x:c r="C12" s="11" t="str">
        <x:v>Per-share cash flow and valuation impact</x:v>
      </x:c>
      <x:c r="D12" s="11" t="str">
        <x:v>Per-share cash flow and valuation impact</x:v>
      </x:c>
      <x:c r="E12" s="11" t="str">
        <x:v>Per-share cash flow and valuation impact</x:v>
      </x:c>
      <x:c r="F12" s="11" t="str">
        <x:v>Per-share cash flow and valuation impact</x:v>
      </x:c>
    </x:row>
    <x:row r="13">
      <x:c r="A13" s="17" t="str">
        <x:v>Metric</x:v>
      </x:c>
      <x:c r="B13" s="17" t="str">
        <x:v>Reported CAFD</x:v>
      </x:c>
      <x:c r="C13" s="17" t="str">
        <x:v>Legacy midpoint</x:v>
      </x:c>
      <x:c r="D13" s="17" t="str">
        <x:v>First-pass recurring</x:v>
      </x:c>
      <x:c r="E13" s="17" t="str">
        <x:v>Units</x:v>
      </x:c>
      <x:c r="F13" s="17" t="str">
        <x:v>Formula convention</x:v>
      </x:c>
    </x:row>
    <x:row r="14">
      <x:c r="A14" s="103" t="str">
        <x:v>Attributable CAFD</x:v>
      </x:c>
      <x:c r="B14" s="104" t="n">
        <x:f>B5*'Inputs'!B8</x:f>
        <x:v>29.831038019</x:v>
      </x:c>
      <x:c r="C14" s="104" t="n">
        <x:f>B9*'Inputs'!B8</x:f>
        <x:v>31.276303635499996</x:v>
      </x:c>
      <x:c r="D14" s="104" t="n">
        <x:f>B7*'Inputs'!B8</x:f>
        <x:v>18.659902819</x:v>
      </x:c>
      <x:c r="E14" s="103" t="str">
        <x:v>USD million</x:v>
      </x:c>
      <x:c r="F14" s="103" t="str">
        <x:v>CAFD x Company ownership</x:v>
      </x:c>
    </x:row>
    <x:row r="15">
      <x:c r="A15" s="103" t="str">
        <x:v>Attributable cash / Class A share</x:v>
      </x:c>
      <x:c r="B15" s="106" t="n">
        <x:f>B14/'Inputs'!B7</x:f>
        <x:v>1.2971945965963025</x:v>
      </x:c>
      <x:c r="C15" s="106" t="n">
        <x:f>C14/'Inputs'!B7</x:f>
        <x:v>1.3600415799019496</x:v>
      </x:c>
      <x:c r="D15" s="106" t="n">
        <x:f>D14/'Inputs'!B7</x:f>
        <x:v>0.8114208125912988</x:v>
      </x:c>
      <x:c r="E15" s="103" t="str">
        <x:v>USD/share</x:v>
      </x:c>
      <x:c r="F15" s="103" t="str">
        <x:v>Attributable CAFD / Class A shares</x:v>
      </x:c>
    </x:row>
    <x:row r="16">
      <x:c r="A16" s="103" t="str">
        <x:v>PDP DCF value / Class A share</x:v>
      </x:c>
      <x:c r="B16" s="106" t="n">
        <x:f>'PDP DCF'!B5</x:f>
        <x:v>4.7712510752275685</x:v>
      </x:c>
      <x:c r="C16" s="106" t="n">
        <x:f>'PDP DCF'!C5</x:f>
        <x:v>5.0024104845087</x:v>
      </x:c>
      <x:c r="D16" s="106" t="n">
        <x:f>'PDP DCF'!D5</x:f>
        <x:v>2.9845116798178464</x:v>
      </x:c>
      <x:c r="E16" s="103" t="str">
        <x:v>USD/share</x:v>
      </x:c>
      <x:c r="F16" s="103" t="str">
        <x:v>Links to finite declining PDP DCF</x:v>
      </x:c>
    </x:row>
    <x:row r="17">
      <x:c r="A17" s="94"/>
      <x:c r="B17" s="94"/>
      <x:c r="C17" s="94"/>
      <x:c r="D17" s="94"/>
      <x:c r="E17" s="94"/>
      <x:c r="F17" s="94"/>
    </x:row>
    <x:row r="18">
      <x:c r="A18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B18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C18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D18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E18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F18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</x:row>
    <x:row r="19">
      <x:c r="A19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B19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C19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D19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E19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  <x:c r="F19" s="40" t="str">
        <x:v>Active base is intentionally conservative only on the disclosed Liquidity Incentive Fee. Do not call it normalized steady-state CAFD until the first post-IPO quarterly filing resolves transaction costs, cash taxes, interest and preferred-dividend treatment.</x:v>
      </x:c>
    </x:row>
  </x:sheetData>
  <x:mergeCells>
    <x:mergeCell ref="A1:F1"/>
    <x:mergeCell ref="A3:F3"/>
    <x:mergeCell ref="A12:F12"/>
    <x:mergeCell ref="A18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15" hidden="0" customWidth="1"/>
    <x:col min="5" max="5" width="19" hidden="0" customWidth="1"/>
    <x:col min="6" max="6" width="18" hidden="0" customWidth="1"/>
    <x:col min="7" max="7" width="19" hidden="0" customWidth="1"/>
    <x:col min="8" max="8" width="20" hidden="0" customWidth="1"/>
  </x:cols>
  <x:sheetData>
    <x:row r="1" ht="28" customHeight="1">
      <x:c r="A1" s="4" t="str">
        <x:v>PDP Royalty Cash-Flow DCF - Finite Declining Reserve Schedule</x:v>
      </x:c>
      <x:c r="B1" s="4" t="str">
        <x:v>PDP Royalty Cash-Flow DCF - Finite Declining Reserve Schedule</x:v>
      </x:c>
      <x:c r="C1" s="4" t="str">
        <x:v>PDP Royalty Cash-Flow DCF - Finite Declining Reserve Schedule</x:v>
      </x:c>
      <x:c r="D1" s="4" t="str">
        <x:v>PDP Royalty Cash-Flow DCF - Finite Declining Reserve Schedule</x:v>
      </x:c>
      <x:c r="E1" s="4" t="str">
        <x:v>PDP Royalty Cash-Flow DCF - Finite Declining Reserve Schedule</x:v>
      </x:c>
      <x:c r="F1" s="4" t="str">
        <x:v>PDP Royalty Cash-Flow DCF - Finite Declining Reserve Schedule</x:v>
      </x:c>
      <x:c r="G1" s="4" t="str">
        <x:v>PDP Royalty Cash-Flow DCF - Finite Declining Reserve Schedule</x:v>
      </x:c>
      <x:c r="H1" s="4" t="str">
        <x:v>PDP Royalty Cash-Flow DCF - Finite Declining Reserve Schedule</x:v>
      </x:c>
    </x:row>
    <x:row r="2">
      <x:c r="A2" s="40" t="str">
        <x:v>This schedule retains the current 13.5% reserve-life guardrail. It is a finite 30-year cash-flow cross-check, not a fitted well-level decline curve.</x:v>
      </x:c>
      <x:c r="B2" s="40" t="str">
        <x:v>This schedule retains the current 13.5% reserve-life guardrail. It is a finite 30-year cash-flow cross-check, not a fitted well-level decline curve.</x:v>
      </x:c>
      <x:c r="C2" s="40" t="str">
        <x:v>This schedule retains the current 13.5% reserve-life guardrail. It is a finite 30-year cash-flow cross-check, not a fitted well-level decline curve.</x:v>
      </x:c>
      <x:c r="D2" s="40" t="str">
        <x:v>This schedule retains the current 13.5% reserve-life guardrail. It is a finite 30-year cash-flow cross-check, not a fitted well-level decline curve.</x:v>
      </x:c>
      <x:c r="E2" s="40" t="str">
        <x:v>This schedule retains the current 13.5% reserve-life guardrail. It is a finite 30-year cash-flow cross-check, not a fitted well-level decline curve.</x:v>
      </x:c>
      <x:c r="F2" s="40" t="str">
        <x:v>This schedule retains the current 13.5% reserve-life guardrail. It is a finite 30-year cash-flow cross-check, not a fitted well-level decline curve.</x:v>
      </x:c>
      <x:c r="G2" s="40" t="str">
        <x:v>This schedule retains the current 13.5% reserve-life guardrail. It is a finite 30-year cash-flow cross-check, not a fitted well-level decline curve.</x:v>
      </x:c>
      <x:c r="H2" s="40" t="str">
        <x:v>This schedule retains the current 13.5% reserve-life guardrail. It is a finite 30-year cash-flow cross-check, not a fitted well-level decline curve.</x:v>
      </x:c>
    </x:row>
    <x:row r="3">
      <x:c r="A3" s="94"/>
      <x:c r="B3" s="94"/>
      <x:c r="C3" s="94"/>
      <x:c r="D3" s="94"/>
      <x:c r="E3" s="94"/>
      <x:c r="F3" s="94"/>
      <x:c r="G3" s="94"/>
      <x:c r="H3" s="94"/>
    </x:row>
    <x:row r="4">
      <x:c r="A4" s="17" t="str">
        <x:v>PDP value / Class A share</x:v>
      </x:c>
      <x:c r="B4" s="17" t="str">
        <x:v>Reported CAFD</x:v>
      </x:c>
      <x:c r="C4" s="17" t="str">
        <x:v>Legacy midpoint</x:v>
      </x:c>
      <x:c r="D4" s="17" t="str">
        <x:v>First-pass recurring</x:v>
      </x:c>
      <x:c r="E4" s="94"/>
      <x:c r="F4" s="94"/>
      <x:c r="G4" s="94"/>
      <x:c r="H4" s="94"/>
    </x:row>
    <x:row r="5">
      <x:c r="A5" s="94"/>
      <x:c r="B5" s="107" t="n">
        <x:f>SUM(E8:E37)/'Inputs'!B7</x:f>
        <x:v>4.7712510752275685</x:v>
      </x:c>
      <x:c r="C5" s="107" t="n">
        <x:f>SUM(F8:F37)/'Inputs'!B7</x:f>
        <x:v>5.0024104845087</x:v>
      </x:c>
      <x:c r="D5" s="107" t="n">
        <x:f>SUM(G8:G37)/'Inputs'!B7</x:f>
        <x:v>2.9845116798178464</x:v>
      </x:c>
      <x:c r="E5" s="94"/>
      <x:c r="F5" s="94"/>
      <x:c r="G5" s="94"/>
      <x:c r="H5" s="94"/>
    </x:row>
    <x:row r="6">
      <x:c r="A6" s="94"/>
      <x:c r="B6" s="94"/>
      <x:c r="C6" s="94"/>
      <x:c r="D6" s="94"/>
      <x:c r="E6" s="94"/>
      <x:c r="F6" s="94"/>
      <x:c r="G6" s="94"/>
      <x:c r="H6" s="94"/>
    </x:row>
    <x:row r="7">
      <x:c r="A7" s="17" t="str">
        <x:v>Year</x:v>
      </x:c>
      <x:c r="B7" s="17" t="str">
        <x:v>PDP volume (Bcfe)</x:v>
      </x:c>
      <x:c r="C7" s="17" t="str">
        <x:v>Cumulative PDP volume (Bcfe)</x:v>
      </x:c>
      <x:c r="D7" s="17" t="str">
        <x:v>Discount factor</x:v>
      </x:c>
      <x:c r="E7" s="17" t="str">
        <x:v>PV cash - reported</x:v>
      </x:c>
      <x:c r="F7" s="17" t="str">
        <x:v>PV cash - legacy</x:v>
      </x:c>
      <x:c r="G7" s="17" t="str">
        <x:v>PV cash - recurring</x:v>
      </x:c>
      <x:c r="H7" s="17" t="str">
        <x:v>Remaining reserve check (Bcfe)</x:v>
      </x:c>
    </x:row>
    <x:row r="8">
      <x:c r="A8" s="95" t="n">
        <x:v>2027</x:v>
      </x:c>
      <x:c r="B8" s="108" t="n">
        <x:f>'Inputs'!$B$15*(1-'Inputs'!$B$16)^(A8-2026)</x:f>
        <x:v>20.292035</x:v>
      </x:c>
      <x:c r="C8" s="108" t="n">
        <x:f>SUM($B$8:B8)</x:f>
        <x:v>20.292035</x:v>
      </x:c>
      <x:c r="D8" s="109" t="n">
        <x:f>1/(1+'Inputs'!$B$17)^(A8-2026)</x:f>
        <x:v>0.9090909090909091</x:v>
      </x:c>
      <x:c r="E8" s="108" t="n">
        <x:f>'Inputs'!$B$10*'Inputs'!$B$8*(1-'Inputs'!$B$16)^(A8-2026)*D8</x:f>
        <x:v>23.458043533122726</x:v>
      </x:c>
      <x:c r="F8" s="108" t="n">
        <x:f>'Inputs'!$B$30*'Inputs'!$B$8*(1-'Inputs'!$B$16)^(A8-2026)*D8</x:f>
        <x:v>24.594547858824996</x:v>
      </x:c>
      <x:c r="G8" s="108" t="n">
        <x:f>'Inputs'!$B$29*'Inputs'!$B$8*(1-'Inputs'!$B$16)^(A8-2026)*D8</x:f>
        <x:v>14.67346903494091</x:v>
      </x:c>
      <x:c r="H8" s="108" t="n">
        <x:f>'Inputs'!$B$14-C8</x:f>
        <x:v>158.251965</x:v>
      </x:c>
    </x:row>
    <x:row r="9">
      <x:c r="A9" s="95" t="n">
        <x:v>2028</x:v>
      </x:c>
      <x:c r="B9" s="108" t="n">
        <x:f>'Inputs'!$B$15*(1-'Inputs'!$B$16)^(A9-2026)</x:f>
        <x:v>17.552610275</x:v>
      </x:c>
      <x:c r="C9" s="108" t="n">
        <x:f>SUM($B$8:B9)</x:f>
        <x:v>37.844645275</x:v>
      </x:c>
      <x:c r="D9" s="109" t="n">
        <x:f>1/(1+'Inputs'!$B$17)^(A9-2026)</x:f>
        <x:v>0.8264462809917354</x:v>
      </x:c>
      <x:c r="E9" s="108" t="n">
        <x:f>'Inputs'!$B$10*'Inputs'!$B$8*(1-'Inputs'!$B$16)^(A9-2026)*D9</x:f>
        <x:v>18.44655241468287</x:v>
      </x:c>
      <x:c r="F9" s="108" t="n">
        <x:f>'Inputs'!$B$30*'Inputs'!$B$8*(1-'Inputs'!$B$16)^(A9-2026)*D9</x:f>
        <x:v>19.34025808898511</x:v>
      </x:c>
      <x:c r="G9" s="108" t="n">
        <x:f>'Inputs'!$B$29*'Inputs'!$B$8*(1-'Inputs'!$B$16)^(A9-2026)*D9</x:f>
        <x:v>11.53868246838535</x:v>
      </x:c>
      <x:c r="H9" s="108" t="n">
        <x:f>'Inputs'!$B$14-C9</x:f>
        <x:v>140.699354725</x:v>
      </x:c>
    </x:row>
    <x:row r="10">
      <x:c r="A10" s="95" t="n">
        <x:v>2029</x:v>
      </x:c>
      <x:c r="B10" s="108" t="n">
        <x:f>'Inputs'!$B$15*(1-'Inputs'!$B$16)^(A10-2026)</x:f>
        <x:v>15.183007887874998</x:v>
      </x:c>
      <x:c r="C10" s="108" t="n">
        <x:f>SUM($B$8:B10)</x:f>
        <x:v>53.027653162875</x:v>
      </x:c>
      <x:c r="D10" s="109" t="n">
        <x:f>1/(1+'Inputs'!$B$17)^(A10-2026)</x:f>
        <x:v>0.7513148009015775</x:v>
      </x:c>
      <x:c r="E10" s="108" t="n">
        <x:f>'Inputs'!$B$10*'Inputs'!$B$8*(1-'Inputs'!$B$16)^(A10-2026)*D10</x:f>
        <x:v>14.505698035182435</x:v>
      </x:c>
      <x:c r="F10" s="108" t="n">
        <x:f>'Inputs'!$B$30*'Inputs'!$B$8*(1-'Inputs'!$B$16)^(A10-2026)*D10</x:f>
        <x:v>15.208475679065558</x:v>
      </x:c>
      <x:c r="G10" s="108" t="n">
        <x:f>'Inputs'!$B$29*'Inputs'!$B$8*(1-'Inputs'!$B$16)^(A10-2026)*D10</x:f>
        <x:v>9.07360030468484</x:v>
      </x:c>
      <x:c r="H10" s="108" t="n">
        <x:f>'Inputs'!$B$14-C10</x:f>
        <x:v>125.51634683712501</x:v>
      </x:c>
    </x:row>
    <x:row r="11">
      <x:c r="A11" s="95" t="n">
        <x:v>2030</x:v>
      </x:c>
      <x:c r="B11" s="108" t="n">
        <x:f>'Inputs'!$B$15*(1-'Inputs'!$B$16)^(A11-2026)</x:f>
        <x:v>13.133301823011875</x:v>
      </x:c>
      <x:c r="C11" s="108" t="n">
        <x:f>SUM($B$8:B11)</x:f>
        <x:v>66.16095498588687</x:v>
      </x:c>
      <x:c r="D11" s="109" t="n">
        <x:f>1/(1+'Inputs'!$B$17)^(A11-2026)</x:f>
        <x:v>0.6830134553650705</x:v>
      </x:c>
      <x:c r="E11" s="108" t="n">
        <x:f>'Inputs'!$B$10*'Inputs'!$B$8*(1-'Inputs'!$B$16)^(A11-2026)*D11</x:f>
        <x:v>11.406753454938915</x:v>
      </x:c>
      <x:c r="F11" s="108" t="n">
        <x:f>'Inputs'!$B$30*'Inputs'!$B$8*(1-'Inputs'!$B$16)^(A11-2026)*D11</x:f>
        <x:v>11.95939223853792</x:v>
      </x:c>
      <x:c r="G11" s="108" t="n">
        <x:f>'Inputs'!$B$29*'Inputs'!$B$8*(1-'Inputs'!$B$16)^(A11-2026)*D11</x:f>
        <x:v>7.135149330502171</x:v>
      </x:c>
      <x:c r="H11" s="108" t="n">
        <x:f>'Inputs'!$B$14-C11</x:f>
        <x:v>112.38304501411314</x:v>
      </x:c>
    </x:row>
    <x:row r="12">
      <x:c r="A12" s="95" t="n">
        <x:v>2031</x:v>
      </x:c>
      <x:c r="B12" s="108" t="n">
        <x:f>'Inputs'!$B$15*(1-'Inputs'!$B$16)^(A12-2026)</x:f>
        <x:v>11.360306076905271</x:v>
      </x:c>
      <x:c r="C12" s="108" t="n">
        <x:f>SUM($B$8:B12)</x:f>
        <x:v>77.52126106279215</x:v>
      </x:c>
      <x:c r="D12" s="109" t="n">
        <x:f>1/(1+'Inputs'!$B$17)^(A12-2026)</x:f>
        <x:v>0.6209213230591549</x:v>
      </x:c>
      <x:c r="E12" s="108" t="n">
        <x:f>'Inputs'!$B$10*'Inputs'!$B$8*(1-'Inputs'!$B$16)^(A12-2026)*D12</x:f>
        <x:v>8.969856125929237</x:v>
      </x:c>
      <x:c r="F12" s="108" t="n">
        <x:f>'Inputs'!$B$30*'Inputs'!$B$8*(1-'Inputs'!$B$16)^(A12-2026)*D12</x:f>
        <x:v>9.404431169395725</x:v>
      </x:c>
      <x:c r="G12" s="108" t="n">
        <x:f>'Inputs'!$B$29*'Inputs'!$B$8*(1-'Inputs'!$B$16)^(A12-2026)*D12</x:f>
        <x:v>5.610821973531252</x:v>
      </x:c>
      <x:c r="H12" s="108" t="n">
        <x:f>'Inputs'!$B$14-C12</x:f>
        <x:v>101.02273893720786</x:v>
      </x:c>
    </x:row>
    <x:row r="13">
      <x:c r="A13" s="95" t="n">
        <x:v>2032</x:v>
      </x:c>
      <x:c r="B13" s="108" t="n">
        <x:f>'Inputs'!$B$15*(1-'Inputs'!$B$16)^(A13-2026)</x:f>
        <x:v>9.826664756523058</x:v>
      </x:c>
      <x:c r="C13" s="108" t="n">
        <x:f>SUM($B$8:B13)</x:f>
        <x:v>87.34792581931521</x:v>
      </x:c>
      <x:c r="D13" s="109" t="n">
        <x:f>1/(1+'Inputs'!$B$17)^(A13-2026)</x:f>
        <x:v>0.5644739300537772</x:v>
      </x:c>
      <x:c r="E13" s="108" t="n">
        <x:f>'Inputs'!$B$10*'Inputs'!$B$8*(1-'Inputs'!$B$16)^(A13-2026)*D13</x:f>
        <x:v>7.0535686808443545</x:v>
      </x:c>
      <x:c r="F13" s="108" t="n">
        <x:f>'Inputs'!$B$30*'Inputs'!$B$8*(1-'Inputs'!$B$16)^(A13-2026)*D13</x:f>
        <x:v>7.395302692297547</x:v>
      </x:c>
      <x:c r="G13" s="108" t="n">
        <x:f>'Inputs'!$B$29*'Inputs'!$B$8*(1-'Inputs'!$B$16)^(A13-2026)*D13</x:f>
        <x:v>4.41214637009503</x:v>
      </x:c>
      <x:c r="H13" s="108" t="n">
        <x:f>'Inputs'!$B$14-C13</x:f>
        <x:v>91.1960741806848</x:v>
      </x:c>
    </x:row>
    <x:row r="14">
      <x:c r="A14" s="95" t="n">
        <x:v>2033</x:v>
      </x:c>
      <x:c r="B14" s="108" t="n">
        <x:f>'Inputs'!$B$15*(1-'Inputs'!$B$16)^(A14-2026)</x:f>
        <x:v>8.500065014392446</x:v>
      </x:c>
      <x:c r="C14" s="108" t="n">
        <x:f>SUM($B$8:B14)</x:f>
        <x:v>95.84799083370766</x:v>
      </x:c>
      <x:c r="D14" s="109" t="n">
        <x:f>1/(1+'Inputs'!$B$17)^(A14-2026)</x:f>
        <x:v>0.5131581182307065</x:v>
      </x:c>
      <x:c r="E14" s="108" t="n">
        <x:f>'Inputs'!$B$10*'Inputs'!$B$8*(1-'Inputs'!$B$16)^(A14-2026)*D14</x:f>
        <x:v>5.546669917209423</x:v>
      </x:c>
      <x:c r="F14" s="108" t="n">
        <x:f>'Inputs'!$B$30*'Inputs'!$B$8*(1-'Inputs'!$B$16)^(A14-2026)*D14</x:f>
        <x:v>5.815397117124888</x:v>
      </x:c>
      <x:c r="G14" s="108" t="n">
        <x:f>'Inputs'!$B$29*'Inputs'!$B$8*(1-'Inputs'!$B$16)^(A14-2026)*D14</x:f>
        <x:v>3.469551463756545</x:v>
      </x:c>
      <x:c r="H14" s="108" t="n">
        <x:f>'Inputs'!$B$14-C14</x:f>
        <x:v>82.69600916629236</x:v>
      </x:c>
    </x:row>
    <x:row r="15">
      <x:c r="A15" s="95" t="n">
        <x:v>2034</x:v>
      </x:c>
      <x:c r="B15" s="108" t="n">
        <x:f>'Inputs'!$B$15*(1-'Inputs'!$B$16)^(A15-2026)</x:f>
        <x:v>7.352556237449465</x:v>
      </x:c>
      <x:c r="C15" s="108" t="n">
        <x:f>SUM($B$8:B15)</x:f>
        <x:v>103.20054707115712</x:v>
      </x:c>
      <x:c r="D15" s="109" t="n">
        <x:f>1/(1+'Inputs'!$B$17)^(A15-2026)</x:f>
        <x:v>0.4665073802097331</x:v>
      </x:c>
      <x:c r="E15" s="108" t="n">
        <x:f>'Inputs'!$B$10*'Inputs'!$B$8*(1-'Inputs'!$B$16)^(A15-2026)*D15</x:f>
        <x:v>4.361699525805591</x:v>
      </x:c>
      <x:c r="F15" s="108" t="n">
        <x:f>'Inputs'!$B$30*'Inputs'!$B$8*(1-'Inputs'!$B$16)^(A15-2026)*D15</x:f>
        <x:v>4.573016823920934</x:v>
      </x:c>
      <x:c r="G15" s="108" t="n">
        <x:f>'Inputs'!$B$29*'Inputs'!$B$8*(1-'Inputs'!$B$16)^(A15-2026)*D15</x:f>
        <x:v>2.728329105590374</x:v>
      </x:c>
      <x:c r="H15" s="108" t="n">
        <x:f>'Inputs'!$B$14-C15</x:f>
        <x:v>75.3434529288429</x:v>
      </x:c>
    </x:row>
    <x:row r="16">
      <x:c r="A16" s="95" t="n">
        <x:v>2035</x:v>
      </x:c>
      <x:c r="B16" s="108" t="n">
        <x:f>'Inputs'!$B$15*(1-'Inputs'!$B$16)^(A16-2026)</x:f>
        <x:v>6.359961145393788</x:v>
      </x:c>
      <x:c r="C16" s="108" t="n">
        <x:f>SUM($B$8:B16)</x:f>
        <x:v>109.5605082165509</x:v>
      </x:c>
      <x:c r="D16" s="109" t="n">
        <x:f>1/(1+'Inputs'!$B$17)^(A16-2026)</x:f>
        <x:v>0.42409761837248455</x:v>
      </x:c>
      <x:c r="E16" s="108" t="n">
        <x:f>'Inputs'!$B$10*'Inputs'!$B$8*(1-'Inputs'!$B$16)^(A16-2026)*D16</x:f>
        <x:v>3.4298818998380325</x:v>
      </x:c>
      <x:c r="F16" s="108" t="n">
        <x:f>'Inputs'!$B$30*'Inputs'!$B$8*(1-'Inputs'!$B$16)^(A16-2026)*D16</x:f>
        <x:v>3.5960541388105525</x:v>
      </x:c>
      <x:c r="G16" s="108" t="n">
        <x:f>'Inputs'!$B$29*'Inputs'!$B$8*(1-'Inputs'!$B$16)^(A16-2026)*D16</x:f>
        <x:v>2.1454587966687937</x:v>
      </x:c>
      <x:c r="H16" s="108" t="n">
        <x:f>'Inputs'!$B$14-C16</x:f>
        <x:v>68.98349178344911</x:v>
      </x:c>
    </x:row>
    <x:row r="17">
      <x:c r="A17" s="95" t="n">
        <x:v>2036</x:v>
      </x:c>
      <x:c r="B17" s="108" t="n">
        <x:f>'Inputs'!$B$15*(1-'Inputs'!$B$16)^(A17-2026)</x:f>
        <x:v>5.501366390765627</x:v>
      </x:c>
      <x:c r="C17" s="108" t="n">
        <x:f>SUM($B$8:B17)</x:f>
        <x:v>115.06187460731653</x:v>
      </x:c>
      <x:c r="D17" s="109" t="n">
        <x:f>1/(1+'Inputs'!$B$17)^(A17-2026)</x:f>
        <x:v>0.3855432894295314</x:v>
      </x:c>
      <x:c r="E17" s="108" t="n">
        <x:f>'Inputs'!$B$10*'Inputs'!$B$8*(1-'Inputs'!$B$16)^(A17-2026)*D17</x:f>
        <x:v>2.697134403054453</x:v>
      </x:c>
      <x:c r="F17" s="108" t="n">
        <x:f>'Inputs'!$B$30*'Inputs'!$B$8*(1-'Inputs'!$B$16)^(A17-2026)*D17</x:f>
        <x:v>2.827806209155571</x:v>
      </x:c>
      <x:c r="G17" s="108" t="n">
        <x:f>'Inputs'!$B$29*'Inputs'!$B$8*(1-'Inputs'!$B$16)^(A17-2026)*D17</x:f>
        <x:v>1.687110781016824</x:v>
      </x:c>
      <x:c r="H17" s="108" t="n">
        <x:f>'Inputs'!$B$14-C17</x:f>
        <x:v>63.482125392683486</x:v>
      </x:c>
    </x:row>
    <x:row r="18">
      <x:c r="A18" s="95" t="n">
        <x:v>2037</x:v>
      </x:c>
      <x:c r="B18" s="108" t="n">
        <x:f>'Inputs'!$B$15*(1-'Inputs'!$B$16)^(A18-2026)</x:f>
        <x:v>4.758681928012266</x:v>
      </x:c>
      <x:c r="C18" s="108" t="n">
        <x:f>SUM($B$8:B18)</x:f>
        <x:v>119.82055653532879</x:v>
      </x:c>
      <x:c r="D18" s="109" t="n">
        <x:f>1/(1+'Inputs'!$B$17)^(A18-2026)</x:f>
        <x:v>0.3504938994813922</x:v>
      </x:c>
      <x:c r="E18" s="108" t="n">
        <x:f>'Inputs'!$B$10*'Inputs'!$B$8*(1-'Inputs'!$B$16)^(A18-2026)*D18</x:f>
        <x:v>2.1209284169473652</x:v>
      </x:c>
      <x:c r="F18" s="108" t="n">
        <x:f>'Inputs'!$B$30*'Inputs'!$B$8*(1-'Inputs'!$B$16)^(A18-2026)*D18</x:f>
        <x:v>2.223683973563244</x:v>
      </x:c>
      <x:c r="G18" s="108" t="n">
        <x:f>'Inputs'!$B$29*'Inputs'!$B$8*(1-'Inputs'!$B$16)^(A18-2026)*D18</x:f>
        <x:v>1.3266825687086843</x:v>
      </x:c>
      <x:c r="H18" s="108" t="n">
        <x:f>'Inputs'!$B$14-C18</x:f>
        <x:v>58.72344346467122</x:v>
      </x:c>
    </x:row>
    <x:row r="19">
      <x:c r="A19" s="95" t="n">
        <x:v>2038</x:v>
      </x:c>
      <x:c r="B19" s="108" t="n">
        <x:f>'Inputs'!$B$15*(1-'Inputs'!$B$16)^(A19-2026)</x:f>
        <x:v>4.116259867730611</x:v>
      </x:c>
      <x:c r="C19" s="108" t="n">
        <x:f>SUM($B$8:B19)</x:f>
        <x:v>123.9368164030594</x:v>
      </x:c>
      <x:c r="D19" s="109" t="n">
        <x:f>1/(1+'Inputs'!$B$17)^(A19-2026)</x:f>
        <x:v>0.3186308177103565</x:v>
      </x:c>
      <x:c r="E19" s="108" t="n">
        <x:f>'Inputs'!$B$10*'Inputs'!$B$8*(1-'Inputs'!$B$16)^(A19-2026)*D19</x:f>
        <x:v>1.6678209824177006</x:v>
      </x:c>
      <x:c r="F19" s="108" t="n">
        <x:f>'Inputs'!$B$30*'Inputs'!$B$8*(1-'Inputs'!$B$16)^(A19-2026)*D19</x:f>
        <x:v>1.7486242155747327</x:v>
      </x:c>
      <x:c r="G19" s="108" t="n">
        <x:f>'Inputs'!$B$29*'Inputs'!$B$8*(1-'Inputs'!$B$16)^(A19-2026)*D19</x:f>
        <x:v>1.0432549290300108</x:v>
      </x:c>
      <x:c r="H19" s="108" t="n">
        <x:f>'Inputs'!$B$14-C19</x:f>
        <x:v>54.607183596940615</x:v>
      </x:c>
    </x:row>
    <x:row r="20">
      <x:c r="A20" s="95" t="n">
        <x:v>2039</x:v>
      </x:c>
      <x:c r="B20" s="108" t="n">
        <x:f>'Inputs'!$B$15*(1-'Inputs'!$B$16)^(A20-2026)</x:f>
        <x:v>3.5605647855869784</x:v>
      </x:c>
      <x:c r="C20" s="108" t="n">
        <x:f>SUM($B$8:B20)</x:f>
        <x:v>127.49738118864637</x:v>
      </x:c>
      <x:c r="D20" s="109" t="n">
        <x:f>1/(1+'Inputs'!$B$17)^(A20-2026)</x:f>
        <x:v>0.2896643797366877</x:v>
      </x:c>
      <x:c r="E20" s="108" t="n">
        <x:f>'Inputs'!$B$10*'Inputs'!$B$8*(1-'Inputs'!$B$16)^(A20-2026)*D20</x:f>
        <x:v>1.3115137725375554</x:v>
      </x:c>
      <x:c r="F20" s="108" t="n">
        <x:f>'Inputs'!$B$30*'Inputs'!$B$8*(1-'Inputs'!$B$16)^(A20-2026)*D20</x:f>
        <x:v>1.3750544967928577</x:v>
      </x:c>
      <x:c r="G20" s="108" t="n">
        <x:f>'Inputs'!$B$29*'Inputs'!$B$8*(1-'Inputs'!$B$16)^(A20-2026)*D20</x:f>
        <x:v>0.8203777396463265</x:v>
      </x:c>
      <x:c r="H20" s="108" t="n">
        <x:f>'Inputs'!$B$14-C20</x:f>
        <x:v>51.04661881135364</x:v>
      </x:c>
    </x:row>
    <x:row r="21">
      <x:c r="A21" s="95" t="n">
        <x:v>2040</x:v>
      </x:c>
      <x:c r="B21" s="108" t="n">
        <x:f>'Inputs'!$B$15*(1-'Inputs'!$B$16)^(A21-2026)</x:f>
        <x:v>3.0798885395327362</x:v>
      </x:c>
      <x:c r="C21" s="108" t="n">
        <x:f>SUM($B$8:B21)</x:f>
        <x:v>130.57726972817912</x:v>
      </x:c>
      <x:c r="D21" s="109" t="n">
        <x:f>1/(1+'Inputs'!$B$17)^(A21-2026)</x:f>
        <x:v>0.26333125430607973</x:v>
      </x:c>
      <x:c r="E21" s="108" t="n">
        <x:f>'Inputs'!$B$10*'Inputs'!$B$8*(1-'Inputs'!$B$16)^(A21-2026)*D21</x:f>
        <x:v>1.031326739313623</x:v>
      </x:c>
      <x:c r="F21" s="108" t="n">
        <x:f>'Inputs'!$B$30*'Inputs'!$B$8*(1-'Inputs'!$B$16)^(A21-2026)*D21</x:f>
        <x:v>1.0812928542962017</x:v>
      </x:c>
      <x:c r="G21" s="108" t="n">
        <x:f>'Inputs'!$B$29*'Inputs'!$B$8*(1-'Inputs'!$B$16)^(A21-2026)*D21</x:f>
        <x:v>0.6451152225400658</x:v>
      </x:c>
      <x:c r="H21" s="108" t="n">
        <x:f>'Inputs'!$B$14-C21</x:f>
        <x:v>47.96673027182089</x:v>
      </x:c>
    </x:row>
    <x:row r="22">
      <x:c r="A22" s="95" t="n">
        <x:v>2041</x:v>
      </x:c>
      <x:c r="B22" s="108" t="n">
        <x:f>'Inputs'!$B$15*(1-'Inputs'!$B$16)^(A22-2026)</x:f>
        <x:v>2.6641035866958167</x:v>
      </x:c>
      <x:c r="C22" s="108" t="n">
        <x:f>SUM($B$8:B22)</x:f>
        <x:v>133.24137331487495</x:v>
      </x:c>
      <x:c r="D22" s="109" t="n">
        <x:f>1/(1+'Inputs'!$B$17)^(A22-2026)</x:f>
        <x:v>0.23939204936916333</x:v>
      </x:c>
      <x:c r="E22" s="108" t="n">
        <x:f>'Inputs'!$B$10*'Inputs'!$B$8*(1-'Inputs'!$B$16)^(A22-2026)*D22</x:f>
        <x:v>0.8109978450057125</x:v>
      </x:c>
      <x:c r="F22" s="108" t="n">
        <x:f>'Inputs'!$B$30*'Inputs'!$B$8*(1-'Inputs'!$B$16)^(A22-2026)*D22</x:f>
        <x:v>0.8502893808783767</x:v>
      </x:c>
      <x:c r="G22" s="108" t="n">
        <x:f>'Inputs'!$B$29*'Inputs'!$B$8*(1-'Inputs'!$B$16)^(A22-2026)*D22</x:f>
        <x:v>0.5072951522701425</x:v>
      </x:c>
      <x:c r="H22" s="108" t="n">
        <x:f>'Inputs'!$B$14-C22</x:f>
        <x:v>45.30262668512506</x:v>
      </x:c>
    </x:row>
    <x:row r="23">
      <x:c r="A23" s="95" t="n">
        <x:v>2042</x:v>
      </x:c>
      <x:c r="B23" s="108" t="n">
        <x:f>'Inputs'!$B$15*(1-'Inputs'!$B$16)^(A23-2026)</x:f>
        <x:v>2.3044496024918817</x:v>
      </x:c>
      <x:c r="C23" s="108" t="n">
        <x:f>SUM($B$8:B23)</x:f>
        <x:v>135.54582291736682</x:v>
      </x:c>
      <x:c r="D23" s="109" t="n">
        <x:f>1/(1+'Inputs'!$B$17)^(A23-2026)</x:f>
        <x:v>0.2176291357901485</x:v>
      </x:c>
      <x:c r="E23" s="108" t="n">
        <x:f>'Inputs'!$B$10*'Inputs'!$B$8*(1-'Inputs'!$B$16)^(A23-2026)*D23</x:f>
        <x:v>0.6377392144817648</x:v>
      </x:c>
      <x:c r="F23" s="108" t="n">
        <x:f>'Inputs'!$B$30*'Inputs'!$B$8*(1-'Inputs'!$B$16)^(A23-2026)*D23</x:f>
        <x:v>0.6686366495089053</x:v>
      </x:c>
      <x:c r="G23" s="108" t="n">
        <x:f>'Inputs'!$B$29*'Inputs'!$B$8*(1-'Inputs'!$B$16)^(A23-2026)*D23</x:f>
        <x:v>0.398918460648794</x:v>
      </x:c>
      <x:c r="H23" s="108" t="n">
        <x:f>'Inputs'!$B$14-C23</x:f>
        <x:v>42.99817708263319</x:v>
      </x:c>
    </x:row>
    <x:row r="24">
      <x:c r="A24" s="95" t="n">
        <x:v>2043</x:v>
      </x:c>
      <x:c r="B24" s="108" t="n">
        <x:f>'Inputs'!$B$15*(1-'Inputs'!$B$16)^(A24-2026)</x:f>
        <x:v>1.9933489061554777</x:v>
      </x:c>
      <x:c r="C24" s="108" t="n">
        <x:f>SUM($B$8:B24)</x:f>
        <x:v>137.5391718235223</x:v>
      </x:c>
      <x:c r="D24" s="109" t="n">
        <x:f>1/(1+'Inputs'!$B$17)^(A24-2026)</x:f>
        <x:v>0.19784466890013497</x:v>
      </x:c>
      <x:c r="E24" s="108" t="n">
        <x:f>'Inputs'!$B$10*'Inputs'!$B$8*(1-'Inputs'!$B$16)^(A24-2026)*D24</x:f>
        <x:v>0.5014949277515696</x:v>
      </x:c>
      <x:c r="F24" s="108" t="n">
        <x:f>'Inputs'!$B$30*'Inputs'!$B$8*(1-'Inputs'!$B$16)^(A24-2026)*D24</x:f>
        <x:v>0.5257915471138209</x:v>
      </x:c>
      <x:c r="G24" s="108" t="n">
        <x:f>'Inputs'!$B$29*'Inputs'!$B$8*(1-'Inputs'!$B$16)^(A24-2026)*D24</x:f>
        <x:v>0.31369497132836976</x:v>
      </x:c>
      <x:c r="H24" s="108" t="n">
        <x:f>'Inputs'!$B$14-C24</x:f>
        <x:v>41.0048281764777</x:v>
      </x:c>
    </x:row>
    <x:row r="25">
      <x:c r="A25" s="95" t="n">
        <x:v>2044</x:v>
      </x:c>
      <x:c r="B25" s="108" t="n">
        <x:f>'Inputs'!$B$15*(1-'Inputs'!$B$16)^(A25-2026)</x:f>
        <x:v>1.724246803824488</x:v>
      </x:c>
      <x:c r="C25" s="108" t="n">
        <x:f>SUM($B$8:B25)</x:f>
        <x:v>139.2634186273468</x:v>
      </x:c>
      <x:c r="D25" s="109" t="n">
        <x:f>1/(1+'Inputs'!$B$17)^(A25-2026)</x:f>
        <x:v>0.17985878990921358</x:v>
      </x:c>
      <x:c r="E25" s="108" t="n">
        <x:f>'Inputs'!$B$10*'Inputs'!$B$8*(1-'Inputs'!$B$16)^(A25-2026)*D25</x:f>
        <x:v>0.3943573750046433</x:v>
      </x:c>
      <x:c r="F25" s="108" t="n">
        <x:f>'Inputs'!$B$30*'Inputs'!$B$8*(1-'Inputs'!$B$16)^(A25-2026)*D25</x:f>
        <x:v>0.41346335295768644</x:v>
      </x:c>
      <x:c r="G25" s="108" t="n">
        <x:f>'Inputs'!$B$29*'Inputs'!$B$8*(1-'Inputs'!$B$16)^(A25-2026)*D25</x:f>
        <x:v>0.24667831836276344</x:v>
      </x:c>
      <x:c r="H25" s="108" t="n">
        <x:f>'Inputs'!$B$14-C25</x:f>
        <x:v>39.28058137265322</x:v>
      </x:c>
    </x:row>
    <x:row r="26">
      <x:c r="A26" s="95" t="n">
        <x:v>2045</x:v>
      </x:c>
      <x:c r="B26" s="108" t="n">
        <x:f>'Inputs'!$B$15*(1-'Inputs'!$B$16)^(A26-2026)</x:f>
        <x:v>1.4914734853081821</x:v>
      </x:c>
      <x:c r="C26" s="108" t="n">
        <x:f>SUM($B$8:B26)</x:f>
        <x:v>140.75489211265497</x:v>
      </x:c>
      <x:c r="D26" s="109" t="n">
        <x:f>1/(1+'Inputs'!$B$17)^(A26-2026)</x:f>
        <x:v>0.16350799082655781</x:v>
      </x:c>
      <x:c r="E26" s="108" t="n">
        <x:f>'Inputs'!$B$10*'Inputs'!$B$8*(1-'Inputs'!$B$16)^(A26-2026)*D26</x:f>
        <x:v>0.31010829943546947</x:v>
      </x:c>
      <x:c r="F26" s="108" t="n">
        <x:f>'Inputs'!$B$30*'Inputs'!$B$8*(1-'Inputs'!$B$16)^(A26-2026)*D26</x:f>
        <x:v>0.32513254573490796</x:v>
      </x:c>
      <x:c r="G26" s="108" t="n">
        <x:f>'Inputs'!$B$29*'Inputs'!$B$8*(1-'Inputs'!$B$16)^(A26-2026)*D26</x:f>
        <x:v>0.19397885943980944</x:v>
      </x:c>
      <x:c r="H26" s="108" t="n">
        <x:f>'Inputs'!$B$14-C26</x:f>
        <x:v>37.78910788734504</x:v>
      </x:c>
    </x:row>
    <x:row r="27">
      <x:c r="A27" s="95" t="n">
        <x:v>2046</x:v>
      </x:c>
      <x:c r="B27" s="108" t="n">
        <x:f>'Inputs'!$B$15*(1-'Inputs'!$B$16)^(A27-2026)</x:f>
        <x:v>1.2901245647915776</x:v>
      </x:c>
      <x:c r="C27" s="108" t="n">
        <x:f>SUM($B$8:B27)</x:f>
        <x:v>142.04501667744654</x:v>
      </x:c>
      <x:c r="D27" s="109" t="n">
        <x:f>1/(1+'Inputs'!$B$17)^(A27-2026)</x:f>
        <x:v>0.14864362802414344</x:v>
      </x:c>
      <x:c r="E27" s="108" t="n">
        <x:f>'Inputs'!$B$10*'Inputs'!$B$8*(1-'Inputs'!$B$16)^(A27-2026)*D27</x:f>
        <x:v>0.24385789001061914</x:v>
      </x:c>
      <x:c r="F27" s="108" t="n">
        <x:f>'Inputs'!$B$30*'Inputs'!$B$8*(1-'Inputs'!$B$16)^(A27-2026)*D27</x:f>
        <x:v>0.25567241096426846</x:v>
      </x:c>
      <x:c r="G27" s="108" t="n">
        <x:f>'Inputs'!$B$29*'Inputs'!$B$8*(1-'Inputs'!$B$16)^(A27-2026)*D27</x:f>
        <x:v>0.15253792128675922</x:v>
      </x:c>
      <x:c r="H27" s="108" t="n">
        <x:f>'Inputs'!$B$14-C27</x:f>
        <x:v>36.49898332255347</x:v>
      </x:c>
    </x:row>
    <x:row r="28">
      <x:c r="A28" s="95" t="n">
        <x:v>2047</x:v>
      </x:c>
      <x:c r="B28" s="108" t="n">
        <x:f>'Inputs'!$B$15*(1-'Inputs'!$B$16)^(A28-2026)</x:f>
        <x:v>1.1159577485447145</x:v>
      </x:c>
      <x:c r="C28" s="108" t="n">
        <x:f>SUM($B$8:B28)</x:f>
        <x:v>143.16097442599124</x:v>
      </x:c>
      <x:c r="D28" s="109" t="n">
        <x:f>1/(1+'Inputs'!$B$17)^(A28-2026)</x:f>
        <x:v>0.13513057093103947</x:v>
      </x:c>
      <x:c r="E28" s="108" t="n">
        <x:f>'Inputs'!$B$10*'Inputs'!$B$8*(1-'Inputs'!$B$16)^(A28-2026)*D28</x:f>
        <x:v>0.19176097714471413</x:v>
      </x:c>
      <x:c r="F28" s="108" t="n">
        <x:f>'Inputs'!$B$30*'Inputs'!$B$8*(1-'Inputs'!$B$16)^(A28-2026)*D28</x:f>
        <x:v>0.20105148680372018</x:v>
      </x:c>
      <x:c r="G28" s="108" t="n">
        <x:f>'Inputs'!$B$29*'Inputs'!$B$8*(1-'Inputs'!$B$16)^(A28-2026)*D28</x:f>
        <x:v>0.1199502744664061</x:v>
      </x:c>
      <x:c r="H28" s="108" t="n">
        <x:f>'Inputs'!$B$14-C28</x:f>
        <x:v>35.38302557400877</x:v>
      </x:c>
    </x:row>
    <x:row r="29">
      <x:c r="A29" s="95" t="n">
        <x:v>2048</x:v>
      </x:c>
      <x:c r="B29" s="108" t="n">
        <x:f>'Inputs'!$B$15*(1-'Inputs'!$B$16)^(A29-2026)</x:f>
        <x:v>0.9653034524911781</x:v>
      </x:c>
      <x:c r="C29" s="108" t="n">
        <x:f>SUM($B$8:B29)</x:f>
        <x:v>144.12627787848243</x:v>
      </x:c>
      <x:c r="D29" s="109" t="n">
        <x:f>1/(1+'Inputs'!$B$17)^(A29-2026)</x:f>
        <x:v>0.12284597357367225</x:v>
      </x:c>
      <x:c r="E29" s="108" t="n">
        <x:f>'Inputs'!$B$10*'Inputs'!$B$8*(1-'Inputs'!$B$16)^(A29-2026)*D29</x:f>
        <x:v>0.15079385930016156</x:v>
      </x:c>
      <x:c r="F29" s="108" t="n">
        <x:f>'Inputs'!$B$30*'Inputs'!$B$8*(1-'Inputs'!$B$16)^(A29-2026)*D29</x:f>
        <x:v>0.15809957825928908</x:v>
      </x:c>
      <x:c r="G29" s="108" t="n">
        <x:f>'Inputs'!$B$29*'Inputs'!$B$8*(1-'Inputs'!$B$16)^(A29-2026)*D29</x:f>
        <x:v>0.09432453401221934</x:v>
      </x:c>
      <x:c r="H29" s="108" t="n">
        <x:f>'Inputs'!$B$14-C29</x:f>
        <x:v>34.417722121517585</x:v>
      </x:c>
    </x:row>
    <x:row r="30">
      <x:c r="A30" s="95" t="n">
        <x:v>2049</x:v>
      </x:c>
      <x:c r="B30" s="108" t="n">
        <x:f>'Inputs'!$B$15*(1-'Inputs'!$B$16)^(A30-2026)</x:f>
        <x:v>0.8349874864048691</x:v>
      </x:c>
      <x:c r="C30" s="108" t="n">
        <x:f>SUM($B$8:B30)</x:f>
        <x:v>144.96126536488728</x:v>
      </x:c>
      <x:c r="D30" s="109" t="n">
        <x:f>1/(1+'Inputs'!$B$17)^(A30-2026)</x:f>
        <x:v>0.11167815779424749</x:v>
      </x:c>
      <x:c r="E30" s="108" t="n">
        <x:f>'Inputs'!$B$10*'Inputs'!$B$8*(1-'Inputs'!$B$16)^(A30-2026)*D30</x:f>
        <x:v>0.11857880754058157</x:v>
      </x:c>
      <x:c r="F30" s="108" t="n">
        <x:f>'Inputs'!$B$30*'Inputs'!$B$8*(1-'Inputs'!$B$16)^(A30-2026)*D30</x:f>
        <x:v>0.12432375926753182</x:v>
      </x:c>
      <x:c r="G30" s="108" t="n">
        <x:f>'Inputs'!$B$29*'Inputs'!$B$8*(1-'Inputs'!$B$16)^(A30-2026)*D30</x:f>
        <x:v>0.07417338356415429</x:v>
      </x:c>
      <x:c r="H30" s="108" t="n">
        <x:f>'Inputs'!$B$14-C30</x:f>
        <x:v>33.58273463511273</x:v>
      </x:c>
    </x:row>
    <x:row r="31">
      <x:c r="A31" s="95" t="n">
        <x:v>2050</x:v>
      </x:c>
      <x:c r="B31" s="108" t="n">
        <x:f>'Inputs'!$B$15*(1-'Inputs'!$B$16)^(A31-2026)</x:f>
        <x:v>0.7222641757402117</x:v>
      </x:c>
      <x:c r="C31" s="108" t="n">
        <x:f>SUM($B$8:B31)</x:f>
        <x:v>145.6835295406275</x:v>
      </x:c>
      <x:c r="D31" s="109" t="n">
        <x:f>1/(1+'Inputs'!$B$17)^(A31-2026)</x:f>
        <x:v>0.10152559799477044</x:v>
      </x:c>
      <x:c r="E31" s="108" t="n">
        <x:f>'Inputs'!$B$10*'Inputs'!$B$8*(1-'Inputs'!$B$16)^(A31-2026)*D31</x:f>
        <x:v>0.0932460622932755</x:v>
      </x:c>
      <x:c r="F31" s="108" t="n">
        <x:f>'Inputs'!$B$30*'Inputs'!$B$8*(1-'Inputs'!$B$16)^(A31-2026)*D31</x:f>
        <x:v>0.09776368342401368</x:v>
      </x:c>
      <x:c r="G31" s="108" t="n">
        <x:f>'Inputs'!$B$29*'Inputs'!$B$8*(1-'Inputs'!$B$16)^(A31-2026)*D31</x:f>
        <x:v>0.05832725162090315</x:v>
      </x:c>
      <x:c r="H31" s="108" t="n">
        <x:f>'Inputs'!$B$14-C31</x:f>
        <x:v>32.86047045937252</x:v>
      </x:c>
    </x:row>
    <x:row r="32">
      <x:c r="A32" s="95" t="n">
        <x:v>2051</x:v>
      </x:c>
      <x:c r="B32" s="108" t="n">
        <x:f>'Inputs'!$B$15*(1-'Inputs'!$B$16)^(A32-2026)</x:f>
        <x:v>0.6247585120152831</x:v>
      </x:c>
      <x:c r="C32" s="108" t="n">
        <x:f>SUM($B$8:B32)</x:f>
        <x:v>146.30828805264278</x:v>
      </x:c>
      <x:c r="D32" s="109" t="n">
        <x:f>1/(1+'Inputs'!$B$17)^(A32-2026)</x:f>
        <x:v>0.09229599817706402</x:v>
      </x:c>
      <x:c r="E32" s="108" t="n">
        <x:f>'Inputs'!$B$10*'Inputs'!$B$8*(1-'Inputs'!$B$16)^(A32-2026)*D32</x:f>
        <x:v>0.07332531262153028</x:v>
      </x:c>
      <x:c r="F32" s="108" t="n">
        <x:f>'Inputs'!$B$30*'Inputs'!$B$8*(1-'Inputs'!$B$16)^(A32-2026)*D32</x:f>
        <x:v>0.07687780560161073</x:v>
      </x:c>
      <x:c r="G32" s="108" t="n">
        <x:f>'Inputs'!$B$29*'Inputs'!$B$8*(1-'Inputs'!$B$16)^(A32-2026)*D32</x:f>
        <x:v>0.04586642968371019</x:v>
      </x:c>
      <x:c r="H32" s="108" t="n">
        <x:f>'Inputs'!$B$14-C32</x:f>
        <x:v>32.23571194735723</x:v>
      </x:c>
    </x:row>
    <x:row r="33">
      <x:c r="A33" s="95" t="n">
        <x:v>2052</x:v>
      </x:c>
      <x:c r="B33" s="108" t="n">
        <x:f>'Inputs'!$B$15*(1-'Inputs'!$B$16)^(A33-2026)</x:f>
        <x:v>0.5404161128932199</x:v>
      </x:c>
      <x:c r="C33" s="108" t="n">
        <x:f>SUM($B$8:B33)</x:f>
        <x:v>146.848704165536</x:v>
      </x:c>
      <x:c r="D33" s="109" t="n">
        <x:f>1/(1+'Inputs'!$B$17)^(A33-2026)</x:f>
        <x:v>0.08390545288824001</x:v>
      </x:c>
      <x:c r="E33" s="108" t="n">
        <x:f>'Inputs'!$B$10*'Inputs'!$B$8*(1-'Inputs'!$B$16)^(A33-2026)*D33</x:f>
        <x:v>0.05766035947056698</x:v>
      </x:c>
      <x:c r="F33" s="108" t="n">
        <x:f>'Inputs'!$B$30*'Inputs'!$B$8*(1-'Inputs'!$B$16)^(A33-2026)*D33</x:f>
        <x:v>0.06045391076853934</x:v>
      </x:c>
      <x:c r="G33" s="108" t="n">
        <x:f>'Inputs'!$B$29*'Inputs'!$B$8*(1-'Inputs'!$B$16)^(A33-2026)*D33</x:f>
        <x:v>0.036067692433099374</x:v>
      </x:c>
      <x:c r="H33" s="108" t="n">
        <x:f>'Inputs'!$B$14-C33</x:f>
        <x:v>31.69529583446402</x:v>
      </x:c>
    </x:row>
    <x:row r="34">
      <x:c r="A34" s="95" t="n">
        <x:v>2053</x:v>
      </x:c>
      <x:c r="B34" s="108" t="n">
        <x:f>'Inputs'!$B$15*(1-'Inputs'!$B$16)^(A34-2026)</x:f>
        <x:v>0.4674599376526352</x:v>
      </x:c>
      <x:c r="C34" s="108" t="n">
        <x:f>SUM($B$8:B34)</x:f>
        <x:v>147.31616410318864</x:v>
      </x:c>
      <x:c r="D34" s="109" t="n">
        <x:f>1/(1+'Inputs'!$B$17)^(A34-2026)</x:f>
        <x:v>0.07627768444385455</x:v>
      </x:c>
      <x:c r="E34" s="108" t="n">
        <x:f>'Inputs'!$B$10*'Inputs'!$B$8*(1-'Inputs'!$B$16)^(A34-2026)*D34</x:f>
        <x:v>0.04534200994730948</x:v>
      </x:c>
      <x:c r="F34" s="108" t="n">
        <x:f>'Inputs'!$B$30*'Inputs'!$B$8*(1-'Inputs'!$B$16)^(A34-2026)*D34</x:f>
        <x:v>0.04753875710435138</x:v>
      </x:c>
      <x:c r="G34" s="108" t="n">
        <x:f>'Inputs'!$B$29*'Inputs'!$B$8*(1-'Inputs'!$B$16)^(A34-2026)*D34</x:f>
        <x:v>0.028362321776937233</x:v>
      </x:c>
      <x:c r="H34" s="108" t="n">
        <x:f>'Inputs'!$B$14-C34</x:f>
        <x:v>31.22783589681137</x:v>
      </x:c>
    </x:row>
    <x:row r="35">
      <x:c r="A35" s="95" t="n">
        <x:v>2054</x:v>
      </x:c>
      <x:c r="B35" s="108" t="n">
        <x:f>'Inputs'!$B$15*(1-'Inputs'!$B$16)^(A35-2026)</x:f>
        <x:v>0.4043528460695294</x:v>
      </x:c>
      <x:c r="C35" s="108" t="n">
        <x:f>SUM($B$8:B35)</x:f>
        <x:v>147.72051694925818</x:v>
      </x:c>
      <x:c r="D35" s="109" t="n">
        <x:f>1/(1+'Inputs'!$B$17)^(A35-2026)</x:f>
        <x:v>0.06934334949441322</x:v>
      </x:c>
      <x:c r="E35" s="108" t="n">
        <x:f>'Inputs'!$B$10*'Inputs'!$B$8*(1-'Inputs'!$B$16)^(A35-2026)*D35</x:f>
        <x:v>0.03565530782220245</x:v>
      </x:c>
      <x:c r="F35" s="108" t="n">
        <x:f>'Inputs'!$B$30*'Inputs'!$B$8*(1-'Inputs'!$B$16)^(A35-2026)*D35</x:f>
        <x:v>0.0373827499047854</x:v>
      </x:c>
      <x:c r="G35" s="108" t="n">
        <x:f>'Inputs'!$B$29*'Inputs'!$B$8*(1-'Inputs'!$B$16)^(A35-2026)*D35</x:f>
        <x:v>0.022303098488227913</x:v>
      </x:c>
      <x:c r="H35" s="108" t="n">
        <x:f>'Inputs'!$B$14-C35</x:f>
        <x:v>30.823483050741828</x:v>
      </x:c>
    </x:row>
    <x:row r="36">
      <x:c r="A36" s="95" t="n">
        <x:v>2055</x:v>
      </x:c>
      <x:c r="B36" s="108" t="n">
        <x:f>'Inputs'!$B$15*(1-'Inputs'!$B$16)^(A36-2026)</x:f>
        <x:v>0.349765211850143</x:v>
      </x:c>
      <x:c r="C36" s="108" t="n">
        <x:f>SUM($B$8:B36)</x:f>
        <x:v>148.07028216110834</x:v>
      </x:c>
      <x:c r="D36" s="109" t="n">
        <x:f>1/(1+'Inputs'!$B$17)^(A36-2026)</x:f>
        <x:v>0.06303940863128475</x:v>
      </x:c>
      <x:c r="E36" s="108" t="n">
        <x:f>'Inputs'!$B$10*'Inputs'!$B$8*(1-'Inputs'!$B$16)^(A36-2026)*D36</x:f>
        <x:v>0.028038037514731932</x:v>
      </x:c>
      <x:c r="F36" s="108" t="n">
        <x:f>'Inputs'!$B$30*'Inputs'!$B$8*(1-'Inputs'!$B$16)^(A36-2026)*D36</x:f>
        <x:v>0.029396435152399435</x:v>
      </x:c>
      <x:c r="G36" s="108" t="n">
        <x:f>'Inputs'!$B$29*'Inputs'!$B$8*(1-'Inputs'!$B$16)^(A36-2026)*D36</x:f>
        <x:v>0.017538345629379226</x:v>
      </x:c>
      <x:c r="H36" s="108" t="n">
        <x:f>'Inputs'!$B$14-C36</x:f>
        <x:v>30.473717838891673</x:v>
      </x:c>
    </x:row>
    <x:row r="37">
      <x:c r="A37" s="95" t="n">
        <x:v>2056</x:v>
      </x:c>
      <x:c r="B37" s="108" t="n">
        <x:f>'Inputs'!$B$15*(1-'Inputs'!$B$16)^(A37-2026)</x:f>
        <x:v>0.30254690825037367</x:v>
      </x:c>
      <x:c r="C37" s="108" t="n">
        <x:f>SUM($B$8:B37)</x:f>
        <x:v>148.37282906935872</x:v>
      </x:c>
      <x:c r="D37" s="109" t="n">
        <x:f>1/(1+'Inputs'!$B$17)^(A37-2026)</x:f>
        <x:v>0.05730855330116795</x:v>
      </x:c>
      <x:c r="E37" s="108" t="n">
        <x:f>'Inputs'!$B$10*'Inputs'!$B$8*(1-'Inputs'!$B$16)^(A37-2026)*D37</x:f>
        <x:v>0.02204809313658465</x:v>
      </x:c>
      <x:c r="F37" s="108" t="n">
        <x:f>'Inputs'!$B$30*'Inputs'!$B$8*(1-'Inputs'!$B$16)^(A37-2026)*D37</x:f>
        <x:v>0.023116287642568643</x:v>
      </x:c>
      <x:c r="G37" s="108" t="n">
        <x:f>'Inputs'!$B$29*'Inputs'!$B$8*(1-'Inputs'!$B$16)^(A37-2026)*D37</x:f>
        <x:v>0.013791517244920934</x:v>
      </x:c>
      <x:c r="H37" s="108" t="n">
        <x:f>'Inputs'!$B$14-C37</x:f>
        <x:v>30.171170930641296</x:v>
      </x:c>
    </x:row>
    <x:row r="38">
      <x:c r="A38" s="94"/>
      <x:c r="B38" s="94"/>
      <x:c r="C38" s="94"/>
      <x:c r="D38" s="94"/>
      <x:c r="E38" s="94"/>
      <x:c r="F38" s="94"/>
      <x:c r="G38" s="94"/>
      <x:c r="H38" s="94"/>
    </x:row>
    <x:row r="39">
      <x:c r="A39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B39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C39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D39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E39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F39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G39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H39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</x:row>
    <x:row r="40">
      <x:c r="A40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B40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C40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D40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E40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F40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G40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  <x:c r="H40" s="50" t="str">
        <x:v>Check: the declining production curve consumes substantially all of the proved PDP reserve book without attributing undeveloped inventory to the PDP leg. The schedule is a cross-check on the original declining perpetuity, not an independent engineering reserve report.</x:v>
      </x:c>
    </x:row>
  </x:sheetData>
  <x:mergeCells>
    <x:mergeCell ref="A1:H1"/>
    <x:mergeCell ref="A2:H2"/>
    <x:mergeCell ref="A39:H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15" hidden="0" customWidth="1"/>
    <x:col min="9" max="9" width="17" hidden="0" customWidth="1"/>
    <x:col min="10" max="10" width="42" hidden="0" customWidth="1"/>
  </x:cols>
  <x:sheetData>
    <x:row r="1" ht="28" customHeight="1">
      <x:c r="A1" s="4" t="str">
        <x:v>Dated Development-Timing NAV</x:v>
      </x:c>
      <x:c r="B1" s="4" t="str">
        <x:v>Dated Development-Timing NAV</x:v>
      </x:c>
      <x:c r="C1" s="4" t="str">
        <x:v>Dated Development-Timing NAV</x:v>
      </x:c>
      <x:c r="D1" s="4" t="str">
        <x:v>Dated Development-Timing NAV</x:v>
      </x:c>
      <x:c r="E1" s="4" t="str">
        <x:v>Dated Development-Timing NAV</x:v>
      </x:c>
      <x:c r="F1" s="4" t="str">
        <x:v>Dated Development-Timing NAV</x:v>
      </x:c>
      <x:c r="G1" s="4" t="str">
        <x:v>Dated Development-Timing NAV</x:v>
      </x:c>
      <x:c r="H1" s="4" t="str">
        <x:v>Dated Development-Timing NAV</x:v>
      </x:c>
      <x:c r="I1" s="4" t="str">
        <x:v>Dated Development-Timing NAV</x:v>
      </x:c>
      <x:c r="J1" s="4" t="str">
        <x:v>Dated Development-Timing NAV</x:v>
      </x:c>
    </x:row>
    <x:row r="2">
      <x:c r="A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B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C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D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E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F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G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H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I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  <x:c r="J2" s="40" t="str">
        <x:v>This replaces the contract’s 17% timing multiplier with a portfolio schedule. Basin allocation is based on gross locations; operator allocation below is a production-mix proxy until tract/permit intersections are obtained.</x:v>
      </x:c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</x:row>
    <x:row r="4">
      <x:c r="A4" s="11" t="str">
        <x:v>Basin inventory and development assumptions</x:v>
      </x:c>
      <x:c r="B4" s="11" t="str">
        <x:v>Basin inventory and development assumptions</x:v>
      </x:c>
      <x:c r="C4" s="11" t="str">
        <x:v>Basin inventory and development assumptions</x:v>
      </x:c>
      <x:c r="D4" s="11" t="str">
        <x:v>Basin inventory and development assumptions</x:v>
      </x:c>
      <x:c r="E4" s="11" t="str">
        <x:v>Basin inventory and development assumptions</x:v>
      </x:c>
      <x:c r="F4" s="11" t="str">
        <x:v>Basin inventory and development assumptions</x:v>
      </x:c>
      <x:c r="G4" s="11" t="str">
        <x:v>Basin inventory and development assumptions</x:v>
      </x:c>
      <x:c r="H4" s="11" t="str">
        <x:v>Basin inventory and development assumptions</x:v>
      </x:c>
      <x:c r="I4" s="11" t="str">
        <x:v>Basin inventory and development assumptions</x:v>
      </x:c>
      <x:c r="J4" s="11" t="str">
        <x:v>Basin inventory and development assumptions</x:v>
      </x:c>
    </x:row>
    <x:row r="5">
      <x:c r="A5" s="17" t="str">
        <x:v>Basin</x:v>
      </x:c>
      <x:c r="B5" s="17" t="str">
        <x:v>Gross locations</x:v>
      </x:c>
      <x:c r="C5" s="17" t="str">
        <x:v>Net locations</x:v>
      </x:c>
      <x:c r="D5" s="17" t="str">
        <x:v>Avg lateral (000 ft)</x:v>
      </x:c>
      <x:c r="E5" s="17" t="str">
        <x:v>EUR / 000 ft (Bcfe)</x:v>
      </x:c>
      <x:c r="F5" s="17" t="str">
        <x:v>Net inventory (Bcfe)</x:v>
      </x:c>
      <x:c r="G5" s="17" t="str">
        <x:v>Gross TILs/year</x:v>
      </x:c>
      <x:c r="H5" s="17" t="str">
        <x:v>Years to develop</x:v>
      </x:c>
      <x:c r="I5" s="17" t="str">
        <x:v>Full NAV ($m)</x:v>
      </x:c>
      <x:c r="J5" s="17" t="str">
        <x:v>Source/evidence</x:v>
      </x:c>
    </x:row>
    <x:row r="6">
      <x:c r="A6" s="95" t="str">
        <x:v>Appalachia</x:v>
      </x:c>
      <x:c r="B6" s="110" t="n">
        <x:v>2792</x:v>
      </x:c>
      <x:c r="C6" s="110" t="n">
        <x:v>8.7</x:v>
      </x:c>
      <x:c r="D6" s="97" t="n">
        <x:v>13.246</x:v>
      </x:c>
      <x:c r="E6" s="97" t="n">
        <x:v>2.35</x:v>
      </x:c>
      <x:c r="F6" s="108" t="n">
        <x:f>C6*D6*E6</x:f>
        <x:v>270.81447000000003</x:v>
      </x:c>
      <x:c r="G6" s="108" t="n">
        <x:f>B6/'Inputs'!$B$23*'Inputs'!$B$22</x:f>
        <x:v>130.651485824889</x:v>
      </x:c>
      <x:c r="H6" s="111" t="n">
        <x:f>B6/G6</x:f>
        <x:v>21.369829683698295</x:v>
      </x:c>
      <x:c r="I6" s="112" t="n">
        <x:f>F6*1000*'Inputs'!$B$32*'Inputs'!$B$24*'Inputs'!$B$31*'Inputs'!$B$8</x:f>
        <x:v>286.93304259353175</x:v>
      </x:c>
      <x:c r="J6" s="95" t="str">
        <x:v>Filing basin locations; EUR is judgment</x:v>
      </x:c>
    </x:row>
    <x:row r="7">
      <x:c r="A7" s="95" t="str">
        <x:v>Haynesville</x:v>
      </x:c>
      <x:c r="B7" s="110" t="n">
        <x:v>1581</x:v>
      </x:c>
      <x:c r="C7" s="110" t="n">
        <x:v>3.1</x:v>
      </x:c>
      <x:c r="D7" s="97" t="n">
        <x:v>9.267</x:v>
      </x:c>
      <x:c r="E7" s="97" t="n">
        <x:v>2.5</x:v>
      </x:c>
      <x:c r="F7" s="108" t="n">
        <x:f>C7*D7*E7</x:f>
        <x:v>71.81925</x:v>
      </x:c>
      <x:c r="G7" s="108" t="n">
        <x:f>B7/'Inputs'!$B$23*'Inputs'!$B$22</x:f>
        <x:v>73.98280769668678</x:v>
      </x:c>
      <x:c r="H7" s="111" t="n">
        <x:f>B7/G7</x:f>
        <x:v>21.3698296836983</x:v>
      </x:c>
      <x:c r="I7" s="112" t="n">
        <x:f>F7*1000*'Inputs'!$B$32*'Inputs'!$B$24*'Inputs'!$B$31*'Inputs'!$B$8</x:f>
        <x:v>76.0938509647786</x:v>
      </x:c>
      <x:c r="J7" s="95" t="str">
        <x:v>Filing basin locations; EUR is judgment</x:v>
      </x:c>
    </x:row>
    <x:row r="8">
      <x:c r="A8" s="95" t="str">
        <x:v>Mid-Continent</x:v>
      </x:c>
      <x:c r="B8" s="110" t="n">
        <x:v>3952</x:v>
      </x:c>
      <x:c r="C8" s="110" t="n">
        <x:v>14.1</x:v>
      </x:c>
      <x:c r="D8" s="97" t="n">
        <x:v>9.314</x:v>
      </x:c>
      <x:c r="E8" s="97" t="n">
        <x:v>0.9</x:v>
      </x:c>
      <x:c r="F8" s="108" t="n">
        <x:f>C8*D8*E8</x:f>
        <x:v>118.19466000000001</x:v>
      </x:c>
      <x:c r="G8" s="108" t="n">
        <x:f>B8/'Inputs'!$B$23*'Inputs'!$B$22</x:f>
        <x:v>184.93362176932712</x:v>
      </x:c>
      <x:c r="H8" s="111" t="n">
        <x:f>B8/G8</x:f>
        <x:v>21.369829683698295</x:v>
      </x:c>
      <x:c r="I8" s="112" t="n">
        <x:f>F8*1000*'Inputs'!$B$32*'Inputs'!$B$24*'Inputs'!$B$31*'Inputs'!$B$8</x:f>
        <x:v>125.22947319656886</x:v>
      </x:c>
      <x:c r="J8" s="95" t="str">
        <x:v>Filing basin locations; EUR is judgment</x:v>
      </x:c>
    </x:row>
    <x:row r="9">
      <x:c r="A9" s="95" t="str">
        <x:v>Other</x:v>
      </x:c>
      <x:c r="B9" s="110" t="n">
        <x:v>458</x:v>
      </x:c>
      <x:c r="C9" s="110" t="n">
        <x:v>2.1</x:v>
      </x:c>
      <x:c r="D9" s="97" t="n">
        <x:v>9.864</x:v>
      </x:c>
      <x:c r="E9" s="97" t="n">
        <x:v>0.9</x:v>
      </x:c>
      <x:c r="F9" s="108" t="n">
        <x:f>C9*D9*E9</x:f>
        <x:v>18.642960000000002</x:v>
      </x:c>
      <x:c r="G9" s="108" t="n">
        <x:f>B9/'Inputs'!$B$23*'Inputs'!$B$22</x:f>
        <x:v>21.43208470909712</x:v>
      </x:c>
      <x:c r="H9" s="111" t="n">
        <x:f>B9/G9</x:f>
        <x:v>21.3698296836983</x:v>
      </x:c>
      <x:c r="I9" s="112" t="n">
        <x:f>F9*1000*'Inputs'!$B$32*'Inputs'!$B$24*'Inputs'!$B$31*'Inputs'!$B$8</x:f>
        <x:v>19.75256800624246</x:v>
      </x:c>
      <x:c r="J9" s="95" t="str">
        <x:v>Filing basin locations; EUR is judgment</x:v>
      </x:c>
    </x:row>
    <x:row r="10">
      <x:c r="A10" s="113" t="str">
        <x:v>Total</x:v>
      </x:c>
      <x:c r="B10" s="113" t="n">
        <x:f>SUM(B6:B9)</x:f>
        <x:v>8783</x:v>
      </x:c>
      <x:c r="C10" s="113" t="n">
        <x:f>SUM(C6:C9)</x:f>
        <x:v>28</x:v>
      </x:c>
      <x:c r="D10" s="113"/>
      <x:c r="E10" s="113"/>
      <x:c r="F10" s="114" t="n">
        <x:f>SUM(F6:F9)</x:f>
        <x:v>479.47134000000005</x:v>
      </x:c>
      <x:c r="G10" s="114" t="n">
        <x:f>SUM(G6:G9)</x:f>
        <x:v>411</x:v>
      </x:c>
      <x:c r="H10" s="115"/>
      <x:c r="I10" s="116" t="n">
        <x:f>SUM(I6:I9)</x:f>
        <x:v>508.0089347611217</x:v>
      </x:c>
      <x:c r="J10" s="113" t="str">
        <x:v>All inventory value is formula-driven</x:v>
      </x:c>
    </x:row>
    <x:row r="11">
      <x:c r="A11" s="94"/>
      <x:c r="B11" s="94"/>
      <x:c r="C11" s="94"/>
      <x:c r="D11" s="94"/>
      <x:c r="E11" s="94"/>
      <x:c r="F11" s="94"/>
      <x:c r="G11" s="94"/>
      <x:c r="H11" s="94"/>
      <x:c r="I11" s="94"/>
      <x:c r="J11" s="94"/>
    </x:row>
    <x:row r="12">
      <x:c r="A12" s="11" t="str">
        <x:v>Portfolio development schedule and present value</x:v>
      </x:c>
      <x:c r="B12" s="11" t="str">
        <x:v>Portfolio development schedule and present value</x:v>
      </x:c>
      <x:c r="C12" s="11" t="str">
        <x:v>Portfolio development schedule and present value</x:v>
      </x:c>
      <x:c r="D12" s="11" t="str">
        <x:v>Portfolio development schedule and present value</x:v>
      </x:c>
      <x:c r="E12" s="11" t="str">
        <x:v>Portfolio development schedule and present value</x:v>
      </x:c>
      <x:c r="F12" s="11" t="str">
        <x:v>Portfolio development schedule and present value</x:v>
      </x:c>
      <x:c r="G12" s="11" t="str">
        <x:v>Portfolio development schedule and present value</x:v>
      </x:c>
      <x:c r="H12" s="11" t="str">
        <x:v>Portfolio development schedule and present value</x:v>
      </x:c>
      <x:c r="I12" s="11" t="str">
        <x:v>Portfolio development schedule and present value</x:v>
      </x:c>
      <x:c r="J12" s="11" t="str">
        <x:v>Portfolio development schedule and present value</x:v>
      </x:c>
    </x:row>
    <x:row r="13">
      <x:c r="A13" s="17" t="str">
        <x:v>First-production year</x:v>
      </x:c>
      <x:c r="B13" s="17" t="str">
        <x:v>Gross locations scheduled</x:v>
      </x:c>
      <x:c r="C13" s="17" t="str">
        <x:v>Cumulative locations</x:v>
      </x:c>
      <x:c r="D13" s="17" t="str">
        <x:v>Remaining locations</x:v>
      </x:c>
      <x:c r="E13" s="17" t="str">
        <x:v>Net inventory released (Bcfe)</x:v>
      </x:c>
      <x:c r="F13" s="17" t="str">
        <x:v>Discount factor</x:v>
      </x:c>
      <x:c r="G13" s="17" t="str">
        <x:v>PV inventory ($m)</x:v>
      </x:c>
      <x:c r="H13" s="17" t="str">
        <x:v>PV inventory / share</x:v>
      </x:c>
      <x:c r="I13" s="17" t="str">
        <x:v>Timing factor</x:v>
      </x:c>
      <x:c r="J13" s="17" t="str">
        <x:v>Evidence note</x:v>
      </x:c>
    </x:row>
    <x:row r="14">
      <x:c r="A14" s="95" t="n">
        <x:v>2027</x:v>
      </x:c>
      <x:c r="B14" s="108" t="n">
        <x:f>MIN('Inputs'!B22,'Inputs'!B23)</x:f>
        <x:v>411</x:v>
      </x:c>
      <x:c r="C14" s="108" t="n">
        <x:f>SUM($B$14:B14)</x:f>
        <x:v>411</x:v>
      </x:c>
      <x:c r="D14" s="108" t="n">
        <x:f>'Inputs'!$B$23-C14</x:f>
        <x:v>8372</x:v>
      </x:c>
      <x:c r="E14" s="108" t="n">
        <x:f>$F$10/$B$10*B14</x:f>
        <x:v>22.436834878743028</x:v>
      </x:c>
      <x:c r="F14" s="109" t="n">
        <x:f>1/(1+'Inputs'!$B$17)^(A14-2026)</x:f>
        <x:v>0.9090909090909091</x:v>
      </x:c>
      <x:c r="G14" s="108" t="n">
        <x:f>E14*1000*'Inputs'!$B$32*'Inputs'!$B$24*'Inputs'!$B$31*'Inputs'!$B$8*F14</x:f>
        <x:v>21.611136408849845</x:v>
      </x:c>
      <x:c r="H14" s="107" t="n">
        <x:f>G14/'Inputs'!$B$7</x:f>
        <x:v>0.9397544047247134</x:v>
      </x:c>
      <x:c r="I14" s="117" t="n">
        <x:f>SUM($G$14:G14)/$I$10</x:f>
        <x:v>0.042540858890625484</x:v>
      </x:c>
      <x:c r="J14" s="95" t="str">
        <x:v>Portfolio pace is historical proxy, not guidance</x:v>
      </x:c>
    </x:row>
    <x:row r="15">
      <x:c r="A15" s="95" t="n">
        <x:v>2028</x:v>
      </x:c>
      <x:c r="B15" s="108" t="n">
        <x:f>MIN('Inputs'!$B$22,MAX(0,'Inputs'!$B$23-C14))</x:f>
        <x:v>411</x:v>
      </x:c>
      <x:c r="C15" s="108" t="n">
        <x:f>SUM($B$14:B15)</x:f>
        <x:v>822</x:v>
      </x:c>
      <x:c r="D15" s="108" t="n">
        <x:f>'Inputs'!$B$23-C15</x:f>
        <x:v>7961</x:v>
      </x:c>
      <x:c r="E15" s="108" t="n">
        <x:f>$F$10/$B$10*B15</x:f>
        <x:v>22.436834878743028</x:v>
      </x:c>
      <x:c r="F15" s="109" t="n">
        <x:f>1/(1+'Inputs'!$B$17)^(A15-2026)</x:f>
        <x:v>0.8264462809917354</x:v>
      </x:c>
      <x:c r="G15" s="108" t="n">
        <x:f>E15*1000*'Inputs'!$B$32*'Inputs'!$B$24*'Inputs'!$B$31*'Inputs'!$B$8*F15</x:f>
        <x:v>19.646487644408946</x:v>
      </x:c>
      <x:c r="H15" s="107" t="n">
        <x:f>G15/'Inputs'!$B$7</x:f>
        <x:v>0.8543221861133756</x:v>
      </x:c>
      <x:c r="I15" s="117" t="n">
        <x:f>SUM($G$14:G15)/$I$10</x:f>
        <x:v>0.08121436697301229</x:v>
      </x:c>
      <x:c r="J15" s="95" t="str">
        <x:v>Portfolio pace is historical proxy, not guidance</x:v>
      </x:c>
    </x:row>
    <x:row r="16">
      <x:c r="A16" s="95" t="n">
        <x:v>2029</x:v>
      </x:c>
      <x:c r="B16" s="108" t="n">
        <x:f>MIN('Inputs'!$B$22,MAX(0,'Inputs'!$B$23-C15))</x:f>
        <x:v>411</x:v>
      </x:c>
      <x:c r="C16" s="108" t="n">
        <x:f>SUM($B$14:B16)</x:f>
        <x:v>1233</x:v>
      </x:c>
      <x:c r="D16" s="108" t="n">
        <x:f>'Inputs'!$B$23-C16</x:f>
        <x:v>7550</x:v>
      </x:c>
      <x:c r="E16" s="108" t="n">
        <x:f>$F$10/$B$10*B16</x:f>
        <x:v>22.436834878743028</x:v>
      </x:c>
      <x:c r="F16" s="109" t="n">
        <x:f>1/(1+'Inputs'!$B$17)^(A16-2026)</x:f>
        <x:v>0.7513148009015775</x:v>
      </x:c>
      <x:c r="G16" s="108" t="n">
        <x:f>E16*1000*'Inputs'!$B$32*'Inputs'!$B$24*'Inputs'!$B$31*'Inputs'!$B$8*F16</x:f>
        <x:v>17.86044331309904</x:v>
      </x:c>
      <x:c r="H16" s="107" t="n">
        <x:f>G16/'Inputs'!$B$7</x:f>
        <x:v>0.7766565328303414</x:v>
      </x:c>
      <x:c r="I16" s="117" t="n">
        <x:f>SUM($G$14:G16)/$I$10</x:f>
        <x:v>0.11637210159336392</x:v>
      </x:c>
      <x:c r="J16" s="95" t="str">
        <x:v>Portfolio pace is historical proxy, not guidance</x:v>
      </x:c>
    </x:row>
    <x:row r="17">
      <x:c r="A17" s="95" t="n">
        <x:v>2030</x:v>
      </x:c>
      <x:c r="B17" s="108" t="n">
        <x:f>MIN('Inputs'!$B$22,MAX(0,'Inputs'!$B$23-C16))</x:f>
        <x:v>411</x:v>
      </x:c>
      <x:c r="C17" s="108" t="n">
        <x:f>SUM($B$14:B17)</x:f>
        <x:v>1644</x:v>
      </x:c>
      <x:c r="D17" s="108" t="n">
        <x:f>'Inputs'!$B$23-C17</x:f>
        <x:v>7139</x:v>
      </x:c>
      <x:c r="E17" s="108" t="n">
        <x:f>$F$10/$B$10*B17</x:f>
        <x:v>22.436834878743028</x:v>
      </x:c>
      <x:c r="F17" s="109" t="n">
        <x:f>1/(1+'Inputs'!$B$17)^(A17-2026)</x:f>
        <x:v>0.6830134553650705</x:v>
      </x:c>
      <x:c r="G17" s="108" t="n">
        <x:f>E17*1000*'Inputs'!$B$32*'Inputs'!$B$24*'Inputs'!$B$31*'Inputs'!$B$8*F17</x:f>
        <x:v>16.236766648271857</x:v>
      </x:c>
      <x:c r="H17" s="107" t="n">
        <x:f>G17/'Inputs'!$B$7</x:f>
        <x:v>0.7060513934821286</x:v>
      </x:c>
      <x:c r="I17" s="117" t="n">
        <x:f>SUM($G$14:G17)/$I$10</x:f>
        <x:v>0.1483336785209563</x:v>
      </x:c>
      <x:c r="J17" s="95" t="str">
        <x:v>Portfolio pace is historical proxy, not guidance</x:v>
      </x:c>
    </x:row>
    <x:row r="18">
      <x:c r="A18" s="95" t="n">
        <x:v>2031</x:v>
      </x:c>
      <x:c r="B18" s="108" t="n">
        <x:f>MIN('Inputs'!$B$22,MAX(0,'Inputs'!$B$23-C17))</x:f>
        <x:v>411</x:v>
      </x:c>
      <x:c r="C18" s="108" t="n">
        <x:f>SUM($B$14:B18)</x:f>
        <x:v>2055</x:v>
      </x:c>
      <x:c r="D18" s="108" t="n">
        <x:f>'Inputs'!$B$23-C18</x:f>
        <x:v>6728</x:v>
      </x:c>
      <x:c r="E18" s="108" t="n">
        <x:f>$F$10/$B$10*B18</x:f>
        <x:v>22.436834878743028</x:v>
      </x:c>
      <x:c r="F18" s="109" t="n">
        <x:f>1/(1+'Inputs'!$B$17)^(A18-2026)</x:f>
        <x:v>0.6209213230591549</x:v>
      </x:c>
      <x:c r="G18" s="108" t="n">
        <x:f>E18*1000*'Inputs'!$B$32*'Inputs'!$B$24*'Inputs'!$B$31*'Inputs'!$B$8*F18</x:f>
        <x:v>14.760696952974412</x:v>
      </x:c>
      <x:c r="H18" s="107" t="n">
        <x:f>G18/'Inputs'!$B$7</x:f>
        <x:v>0.6418649031655713</x:v>
      </x:c>
      <x:c r="I18" s="117" t="n">
        <x:f>SUM($G$14:G18)/$I$10</x:f>
        <x:v>0.1773896575460403</x:v>
      </x:c>
      <x:c r="J18" s="95" t="str">
        <x:v>Portfolio pace is historical proxy, not guidance</x:v>
      </x:c>
    </x:row>
    <x:row r="19">
      <x:c r="A19" s="95" t="n">
        <x:v>2032</x:v>
      </x:c>
      <x:c r="B19" s="108" t="n">
        <x:f>MIN('Inputs'!$B$22,MAX(0,'Inputs'!$B$23-C18))</x:f>
        <x:v>411</x:v>
      </x:c>
      <x:c r="C19" s="108" t="n">
        <x:f>SUM($B$14:B19)</x:f>
        <x:v>2466</x:v>
      </x:c>
      <x:c r="D19" s="108" t="n">
        <x:f>'Inputs'!$B$23-C19</x:f>
        <x:v>6317</x:v>
      </x:c>
      <x:c r="E19" s="108" t="n">
        <x:f>$F$10/$B$10*B19</x:f>
        <x:v>22.436834878743028</x:v>
      </x:c>
      <x:c r="F19" s="109" t="n">
        <x:f>1/(1+'Inputs'!$B$17)^(A19-2026)</x:f>
        <x:v>0.5644739300537772</x:v>
      </x:c>
      <x:c r="G19" s="108" t="n">
        <x:f>E19*1000*'Inputs'!$B$32*'Inputs'!$B$24*'Inputs'!$B$31*'Inputs'!$B$8*F19</x:f>
        <x:v>13.41881541179492</x:v>
      </x:c>
      <x:c r="H19" s="107" t="n">
        <x:f>G19/'Inputs'!$B$7</x:f>
        <x:v>0.5835135483323376</x:v>
      </x:c>
      <x:c r="I19" s="117" t="n">
        <x:f>SUM($G$14:G19)/$I$10</x:f>
        <x:v>0.2038041839324803</x:v>
      </x:c>
      <x:c r="J19" s="95" t="str">
        <x:v>Portfolio pace is historical proxy, not guidance</x:v>
      </x:c>
    </x:row>
    <x:row r="20">
      <x:c r="A20" s="95" t="n">
        <x:v>2033</x:v>
      </x:c>
      <x:c r="B20" s="108" t="n">
        <x:f>MIN('Inputs'!$B$22,MAX(0,'Inputs'!$B$23-C19))</x:f>
        <x:v>411</x:v>
      </x:c>
      <x:c r="C20" s="108" t="n">
        <x:f>SUM($B$14:B20)</x:f>
        <x:v>2877</x:v>
      </x:c>
      <x:c r="D20" s="108" t="n">
        <x:f>'Inputs'!$B$23-C20</x:f>
        <x:v>5906</x:v>
      </x:c>
      <x:c r="E20" s="108" t="n">
        <x:f>$F$10/$B$10*B20</x:f>
        <x:v>22.436834878743028</x:v>
      </x:c>
      <x:c r="F20" s="109" t="n">
        <x:f>1/(1+'Inputs'!$B$17)^(A20-2026)</x:f>
        <x:v>0.5131581182307065</x:v>
      </x:c>
      <x:c r="G20" s="108" t="n">
        <x:f>E20*1000*'Inputs'!$B$32*'Inputs'!$B$24*'Inputs'!$B$31*'Inputs'!$B$8*F20</x:f>
        <x:v>12.198923101631744</x:v>
      </x:c>
      <x:c r="H20" s="107" t="n">
        <x:f>G20/'Inputs'!$B$7</x:f>
        <x:v>0.5304668621203068</x:v>
      </x:c>
      <x:c r="I20" s="117" t="n">
        <x:f>SUM($G$14:G20)/$I$10</x:f>
        <x:v>0.22781738973833485</x:v>
      </x:c>
      <x:c r="J20" s="95" t="str">
        <x:v>Portfolio pace is historical proxy, not guidance</x:v>
      </x:c>
    </x:row>
    <x:row r="21">
      <x:c r="A21" s="95" t="n">
        <x:v>2034</x:v>
      </x:c>
      <x:c r="B21" s="108" t="n">
        <x:f>MIN('Inputs'!$B$22,MAX(0,'Inputs'!$B$23-C20))</x:f>
        <x:v>411</x:v>
      </x:c>
      <x:c r="C21" s="108" t="n">
        <x:f>SUM($B$14:B21)</x:f>
        <x:v>3288</x:v>
      </x:c>
      <x:c r="D21" s="108" t="n">
        <x:f>'Inputs'!$B$23-C21</x:f>
        <x:v>5495</x:v>
      </x:c>
      <x:c r="E21" s="108" t="n">
        <x:f>$F$10/$B$10*B21</x:f>
        <x:v>22.436834878743028</x:v>
      </x:c>
      <x:c r="F21" s="109" t="n">
        <x:f>1/(1+'Inputs'!$B$17)^(A21-2026)</x:f>
        <x:v>0.4665073802097331</x:v>
      </x:c>
      <x:c r="G21" s="108" t="n">
        <x:f>E21*1000*'Inputs'!$B$32*'Inputs'!$B$24*'Inputs'!$B$31*'Inputs'!$B$8*F21</x:f>
        <x:v>11.089930092392493</x:v>
      </x:c>
      <x:c r="H21" s="107" t="n">
        <x:f>G21/'Inputs'!$B$7</x:f>
        <x:v>0.4822426019275516</x:v>
      </x:c>
      <x:c r="I21" s="117" t="n">
        <x:f>SUM($G$14:G21)/$I$10</x:f>
        <x:v>0.24964757683456623</x:v>
      </x:c>
      <x:c r="J21" s="95" t="str">
        <x:v>Portfolio pace is historical proxy, not guidance</x:v>
      </x:c>
    </x:row>
    <x:row r="22">
      <x:c r="A22" s="95" t="n">
        <x:v>2035</x:v>
      </x:c>
      <x:c r="B22" s="108" t="n">
        <x:f>MIN('Inputs'!$B$22,MAX(0,'Inputs'!$B$23-C21))</x:f>
        <x:v>411</x:v>
      </x:c>
      <x:c r="C22" s="108" t="n">
        <x:f>SUM($B$14:B22)</x:f>
        <x:v>3699</x:v>
      </x:c>
      <x:c r="D22" s="108" t="n">
        <x:f>'Inputs'!$B$23-C22</x:f>
        <x:v>5084</x:v>
      </x:c>
      <x:c r="E22" s="108" t="n">
        <x:f>$F$10/$B$10*B22</x:f>
        <x:v>22.436834878743028</x:v>
      </x:c>
      <x:c r="F22" s="109" t="n">
        <x:f>1/(1+'Inputs'!$B$17)^(A22-2026)</x:f>
        <x:v>0.42409761837248455</x:v>
      </x:c>
      <x:c r="G22" s="108" t="n">
        <x:f>E22*1000*'Inputs'!$B$32*'Inputs'!$B$24*'Inputs'!$B$31*'Inputs'!$B$8*F22</x:f>
        <x:v>10.081754629447719</x:v>
      </x:c>
      <x:c r="H22" s="107" t="n">
        <x:f>G22/'Inputs'!$B$7</x:f>
        <x:v>0.4384023653886832</x:v>
      </x:c>
      <x:c r="I22" s="117" t="n">
        <x:f>SUM($G$14:G22)/$I$10</x:f>
        <x:v>0.26949320146750383</x:v>
      </x:c>
      <x:c r="J22" s="95" t="str">
        <x:v>Portfolio pace is historical proxy, not guidance</x:v>
      </x:c>
    </x:row>
    <x:row r="23">
      <x:c r="A23" s="95" t="n">
        <x:v>2036</x:v>
      </x:c>
      <x:c r="B23" s="108" t="n">
        <x:f>MIN('Inputs'!$B$22,MAX(0,'Inputs'!$B$23-C22))</x:f>
        <x:v>411</x:v>
      </x:c>
      <x:c r="C23" s="108" t="n">
        <x:f>SUM($B$14:B23)</x:f>
        <x:v>4110</x:v>
      </x:c>
      <x:c r="D23" s="108" t="n">
        <x:f>'Inputs'!$B$23-C23</x:f>
        <x:v>4673</x:v>
      </x:c>
      <x:c r="E23" s="108" t="n">
        <x:f>$F$10/$B$10*B23</x:f>
        <x:v>22.436834878743028</x:v>
      </x:c>
      <x:c r="F23" s="109" t="n">
        <x:f>1/(1+'Inputs'!$B$17)^(A23-2026)</x:f>
        <x:v>0.3855432894295314</x:v>
      </x:c>
      <x:c r="G23" s="108" t="n">
        <x:f>E23*1000*'Inputs'!$B$32*'Inputs'!$B$24*'Inputs'!$B$31*'Inputs'!$B$8*F23</x:f>
        <x:v>9.165231481316107</x:v>
      </x:c>
      <x:c r="H23" s="107" t="n">
        <x:f>G23/'Inputs'!$B$7</x:f>
        <x:v>0.39854760489880287</x:v>
      </x:c>
      <x:c r="I23" s="117" t="n">
        <x:f>SUM($G$14:G23)/$I$10</x:f>
        <x:v>0.28753467840653807</x:v>
      </x:c>
      <x:c r="J23" s="95" t="str">
        <x:v>Portfolio pace is historical proxy, not guidance</x:v>
      </x:c>
    </x:row>
    <x:row r="24">
      <x:c r="A24" s="95" t="n">
        <x:v>2037</x:v>
      </x:c>
      <x:c r="B24" s="108" t="n">
        <x:f>MIN('Inputs'!$B$22,MAX(0,'Inputs'!$B$23-C23))</x:f>
        <x:v>411</x:v>
      </x:c>
      <x:c r="C24" s="108" t="n">
        <x:f>SUM($B$14:B24)</x:f>
        <x:v>4521</x:v>
      </x:c>
      <x:c r="D24" s="108" t="n">
        <x:f>'Inputs'!$B$23-C24</x:f>
        <x:v>4262</x:v>
      </x:c>
      <x:c r="E24" s="108" t="n">
        <x:f>$F$10/$B$10*B24</x:f>
        <x:v>22.436834878743028</x:v>
      </x:c>
      <x:c r="F24" s="109" t="n">
        <x:f>1/(1+'Inputs'!$B$17)^(A24-2026)</x:f>
        <x:v>0.3504938994813922</x:v>
      </x:c>
      <x:c r="G24" s="108" t="n">
        <x:f>E24*1000*'Inputs'!$B$32*'Inputs'!$B$24*'Inputs'!$B$31*'Inputs'!$B$8*F24</x:f>
        <x:v>8.33202861937828</x:v>
      </x:c>
      <x:c r="H24" s="107" t="n">
        <x:f>G24/'Inputs'!$B$7</x:f>
        <x:v>0.36231600445345713</x:v>
      </x:c>
      <x:c r="I24" s="117" t="n">
        <x:f>SUM($G$14:G24)/$I$10</x:f>
        <x:v>0.30393602107838735</x:v>
      </x:c>
      <x:c r="J24" s="95" t="str">
        <x:v>Portfolio pace is historical proxy, not guidance</x:v>
      </x:c>
    </x:row>
    <x:row r="25">
      <x:c r="A25" s="95" t="n">
        <x:v>2038</x:v>
      </x:c>
      <x:c r="B25" s="108" t="n">
        <x:f>MIN('Inputs'!$B$22,MAX(0,'Inputs'!$B$23-C24))</x:f>
        <x:v>411</x:v>
      </x:c>
      <x:c r="C25" s="108" t="n">
        <x:f>SUM($B$14:B25)</x:f>
        <x:v>4932</x:v>
      </x:c>
      <x:c r="D25" s="108" t="n">
        <x:f>'Inputs'!$B$23-C25</x:f>
        <x:v>3851</x:v>
      </x:c>
      <x:c r="E25" s="108" t="n">
        <x:f>$F$10/$B$10*B25</x:f>
        <x:v>22.436834878743028</x:v>
      </x:c>
      <x:c r="F25" s="109" t="n">
        <x:f>1/(1+'Inputs'!$B$17)^(A25-2026)</x:f>
        <x:v>0.3186308177103565</x:v>
      </x:c>
      <x:c r="G25" s="108" t="n">
        <x:f>E25*1000*'Inputs'!$B$32*'Inputs'!$B$24*'Inputs'!$B$31*'Inputs'!$B$8*F25</x:f>
        <x:v>7.574571472162072</x:v>
      </x:c>
      <x:c r="H25" s="107" t="n">
        <x:f>G25/'Inputs'!$B$7</x:f>
        <x:v>0.3293781858667792</x:v>
      </x:c>
      <x:c r="I25" s="117" t="n">
        <x:f>SUM($G$14:G25)/$I$10</x:f>
        <x:v>0.3188463325982503</x:v>
      </x:c>
      <x:c r="J25" s="95" t="str">
        <x:v>Portfolio pace is historical proxy, not guidance</x:v>
      </x:c>
    </x:row>
    <x:row r="26">
      <x:c r="A26" s="95" t="n">
        <x:v>2039</x:v>
      </x:c>
      <x:c r="B26" s="108" t="n">
        <x:f>MIN('Inputs'!$B$22,MAX(0,'Inputs'!$B$23-C25))</x:f>
        <x:v>411</x:v>
      </x:c>
      <x:c r="C26" s="108" t="n">
        <x:f>SUM($B$14:B26)</x:f>
        <x:v>5343</x:v>
      </x:c>
      <x:c r="D26" s="108" t="n">
        <x:f>'Inputs'!$B$23-C26</x:f>
        <x:v>3440</x:v>
      </x:c>
      <x:c r="E26" s="108" t="n">
        <x:f>$F$10/$B$10*B26</x:f>
        <x:v>22.436834878743028</x:v>
      </x:c>
      <x:c r="F26" s="109" t="n">
        <x:f>1/(1+'Inputs'!$B$17)^(A26-2026)</x:f>
        <x:v>0.2896643797366877</x:v>
      </x:c>
      <x:c r="G26" s="108" t="n">
        <x:f>E26*1000*'Inputs'!$B$32*'Inputs'!$B$24*'Inputs'!$B$31*'Inputs'!$B$8*F26</x:f>
        <x:v>6.885974065601882</x:v>
      </x:c>
      <x:c r="H26" s="107" t="n">
        <x:f>G26/'Inputs'!$B$7</x:f>
        <x:v>0.29943471442434466</x:v>
      </x:c>
      <x:c r="I26" s="117" t="n">
        <x:f>SUM($G$14:G26)/$I$10</x:f>
        <x:v>0.3324011612526712</x:v>
      </x:c>
      <x:c r="J26" s="95" t="str">
        <x:v>Portfolio pace is historical proxy, not guidance</x:v>
      </x:c>
    </x:row>
    <x:row r="27">
      <x:c r="A27" s="95" t="n">
        <x:v>2040</x:v>
      </x:c>
      <x:c r="B27" s="108" t="n">
        <x:f>MIN('Inputs'!$B$22,MAX(0,'Inputs'!$B$23-C26))</x:f>
        <x:v>411</x:v>
      </x:c>
      <x:c r="C27" s="108" t="n">
        <x:f>SUM($B$14:B27)</x:f>
        <x:v>5754</x:v>
      </x:c>
      <x:c r="D27" s="108" t="n">
        <x:f>'Inputs'!$B$23-C27</x:f>
        <x:v>3029</x:v>
      </x:c>
      <x:c r="E27" s="108" t="n">
        <x:f>$F$10/$B$10*B27</x:f>
        <x:v>22.436834878743028</x:v>
      </x:c>
      <x:c r="F27" s="109" t="n">
        <x:f>1/(1+'Inputs'!$B$17)^(A27-2026)</x:f>
        <x:v>0.26333125430607973</x:v>
      </x:c>
      <x:c r="G27" s="108" t="n">
        <x:f>E27*1000*'Inputs'!$B$32*'Inputs'!$B$24*'Inputs'!$B$31*'Inputs'!$B$8*F27</x:f>
        <x:v>6.259976423274439</x:v>
      </x:c>
      <x:c r="H27" s="107" t="n">
        <x:f>G27/'Inputs'!$B$7</x:f>
        <x:v>0.27221337674940427</x:v>
      </x:c>
      <x:c r="I27" s="117" t="n">
        <x:f>SUM($G$14:G27)/$I$10</x:f>
        <x:v>0.3447237327566902</x:v>
      </x:c>
      <x:c r="J27" s="95" t="str">
        <x:v>Portfolio pace is historical proxy, not guidance</x:v>
      </x:c>
    </x:row>
    <x:row r="28">
      <x:c r="A28" s="95" t="n">
        <x:v>2041</x:v>
      </x:c>
      <x:c r="B28" s="108" t="n">
        <x:f>MIN('Inputs'!$B$22,MAX(0,'Inputs'!$B$23-C27))</x:f>
        <x:v>411</x:v>
      </x:c>
      <x:c r="C28" s="108" t="n">
        <x:f>SUM($B$14:B28)</x:f>
        <x:v>6165</x:v>
      </x:c>
      <x:c r="D28" s="108" t="n">
        <x:f>'Inputs'!$B$23-C28</x:f>
        <x:v>2618</x:v>
      </x:c>
      <x:c r="E28" s="108" t="n">
        <x:f>$F$10/$B$10*B28</x:f>
        <x:v>22.436834878743028</x:v>
      </x:c>
      <x:c r="F28" s="109" t="n">
        <x:f>1/(1+'Inputs'!$B$17)^(A28-2026)</x:f>
        <x:v>0.23939204936916333</x:v>
      </x:c>
      <x:c r="G28" s="108" t="n">
        <x:f>E28*1000*'Inputs'!$B$32*'Inputs'!$B$24*'Inputs'!$B$31*'Inputs'!$B$8*F28</x:f>
        <x:v>5.690887657522215</x:v>
      </x:c>
      <x:c r="H28" s="107" t="n">
        <x:f>G28/'Inputs'!$B$7</x:f>
        <x:v>0.247466706135822</x:v>
      </x:c>
      <x:c r="I28" s="117" t="n">
        <x:f>SUM($G$14:G28)/$I$10</x:f>
        <x:v>0.35592607048761654</x:v>
      </x:c>
      <x:c r="J28" s="95" t="str">
        <x:v>Portfolio pace is historical proxy, not guidance</x:v>
      </x:c>
    </x:row>
    <x:row r="29">
      <x:c r="A29" s="95" t="n">
        <x:v>2042</x:v>
      </x:c>
      <x:c r="B29" s="108" t="n">
        <x:f>MIN('Inputs'!$B$22,MAX(0,'Inputs'!$B$23-C28))</x:f>
        <x:v>411</x:v>
      </x:c>
      <x:c r="C29" s="108" t="n">
        <x:f>SUM($B$14:B29)</x:f>
        <x:v>6576</x:v>
      </x:c>
      <x:c r="D29" s="108" t="n">
        <x:f>'Inputs'!$B$23-C29</x:f>
        <x:v>2207</x:v>
      </x:c>
      <x:c r="E29" s="108" t="n">
        <x:f>$F$10/$B$10*B29</x:f>
        <x:v>22.436834878743028</x:v>
      </x:c>
      <x:c r="F29" s="109" t="n">
        <x:f>1/(1+'Inputs'!$B$17)^(A29-2026)</x:f>
        <x:v>0.2176291357901485</x:v>
      </x:c>
      <x:c r="G29" s="108" t="n">
        <x:f>E29*1000*'Inputs'!$B$32*'Inputs'!$B$24*'Inputs'!$B$31*'Inputs'!$B$8*F29</x:f>
        <x:v>5.173534234111106</x:v>
      </x:c>
      <x:c r="H29" s="107" t="n">
        <x:f>G29/'Inputs'!$B$7</x:f>
        <x:v>0.2249697328507473</x:v>
      </x:c>
      <x:c r="I29" s="117" t="n">
        <x:f>SUM($G$14:G29)/$I$10</x:f>
        <x:v>0.3661100138793678</x:v>
      </x:c>
      <x:c r="J29" s="95" t="str">
        <x:v>Portfolio pace is historical proxy, not guidance</x:v>
      </x:c>
    </x:row>
    <x:row r="30">
      <x:c r="A30" s="95" t="n">
        <x:v>2043</x:v>
      </x:c>
      <x:c r="B30" s="108" t="n">
        <x:f>MIN('Inputs'!$B$22,MAX(0,'Inputs'!$B$23-C29))</x:f>
        <x:v>411</x:v>
      </x:c>
      <x:c r="C30" s="108" t="n">
        <x:f>SUM($B$14:B30)</x:f>
        <x:v>6987</x:v>
      </x:c>
      <x:c r="D30" s="108" t="n">
        <x:f>'Inputs'!$B$23-C30</x:f>
        <x:v>1796</x:v>
      </x:c>
      <x:c r="E30" s="108" t="n">
        <x:f>$F$10/$B$10*B30</x:f>
        <x:v>22.436834878743028</x:v>
      </x:c>
      <x:c r="F30" s="109" t="n">
        <x:f>1/(1+'Inputs'!$B$17)^(A30-2026)</x:f>
        <x:v>0.19784466890013497</x:v>
      </x:c>
      <x:c r="G30" s="108" t="n">
        <x:f>E30*1000*'Inputs'!$B$32*'Inputs'!$B$24*'Inputs'!$B$31*'Inputs'!$B$8*F30</x:f>
        <x:v>4.703212940101004</x:v>
      </x:c>
      <x:c r="H30" s="107" t="n">
        <x:f>G30/'Inputs'!$B$7</x:f>
        <x:v>0.20451793895522477</x:v>
      </x:c>
      <x:c r="I30" s="117" t="n">
        <x:f>SUM($G$14:G30)/$I$10</x:f>
        <x:v>0.3753681442355053</x:v>
      </x:c>
      <x:c r="J30" s="95" t="str">
        <x:v>Portfolio pace is historical proxy, not guidance</x:v>
      </x:c>
    </x:row>
    <x:row r="31">
      <x:c r="A31" s="95" t="n">
        <x:v>2044</x:v>
      </x:c>
      <x:c r="B31" s="108" t="n">
        <x:f>MIN('Inputs'!$B$22,MAX(0,'Inputs'!$B$23-C30))</x:f>
        <x:v>411</x:v>
      </x:c>
      <x:c r="C31" s="108" t="n">
        <x:f>SUM($B$14:B31)</x:f>
        <x:v>7398</x:v>
      </x:c>
      <x:c r="D31" s="108" t="n">
        <x:f>'Inputs'!$B$23-C31</x:f>
        <x:v>1385</x:v>
      </x:c>
      <x:c r="E31" s="108" t="n">
        <x:f>$F$10/$B$10*B31</x:f>
        <x:v>22.436834878743028</x:v>
      </x:c>
      <x:c r="F31" s="109" t="n">
        <x:f>1/(1+'Inputs'!$B$17)^(A31-2026)</x:f>
        <x:v>0.17985878990921358</x:v>
      </x:c>
      <x:c r="G31" s="108" t="n">
        <x:f>E31*1000*'Inputs'!$B$32*'Inputs'!$B$24*'Inputs'!$B$31*'Inputs'!$B$8*F31</x:f>
        <x:v>4.275648127364549</x:v>
      </x:c>
      <x:c r="H31" s="107" t="n">
        <x:f>G31/'Inputs'!$B$7</x:f>
        <x:v>0.1859253990502043</x:v>
      </x:c>
      <x:c r="I31" s="117" t="n">
        <x:f>SUM($G$14:G31)/$I$10</x:f>
        <x:v>0.3837846263774484</x:v>
      </x:c>
      <x:c r="J31" s="95" t="str">
        <x:v>Portfolio pace is historical proxy, not guidance</x:v>
      </x:c>
    </x:row>
    <x:row r="32">
      <x:c r="A32" s="95" t="n">
        <x:v>2045</x:v>
      </x:c>
      <x:c r="B32" s="108" t="n">
        <x:f>MIN('Inputs'!$B$22,MAX(0,'Inputs'!$B$23-C31))</x:f>
        <x:v>411</x:v>
      </x:c>
      <x:c r="C32" s="108" t="n">
        <x:f>SUM($B$14:B32)</x:f>
        <x:v>7809</x:v>
      </x:c>
      <x:c r="D32" s="108" t="n">
        <x:f>'Inputs'!$B$23-C32</x:f>
        <x:v>974</x:v>
      </x:c>
      <x:c r="E32" s="108" t="n">
        <x:f>$F$10/$B$10*B32</x:f>
        <x:v>22.436834878743028</x:v>
      </x:c>
      <x:c r="F32" s="109" t="n">
        <x:f>1/(1+'Inputs'!$B$17)^(A32-2026)</x:f>
        <x:v>0.16350799082655781</x:v>
      </x:c>
      <x:c r="G32" s="108" t="n">
        <x:f>E32*1000*'Inputs'!$B$32*'Inputs'!$B$24*'Inputs'!$B$31*'Inputs'!$B$8*F32</x:f>
        <x:v>3.886952843058681</x:v>
      </x:c>
      <x:c r="H32" s="107" t="n">
        <x:f>G32/'Inputs'!$B$7</x:f>
        <x:v>0.1690230900456403</x:v>
      </x:c>
      <x:c r="I32" s="117" t="n">
        <x:f>SUM($G$14:G32)/$I$10</x:f>
        <x:v>0.39143597377921496</x:v>
      </x:c>
      <x:c r="J32" s="95" t="str">
        <x:v>Portfolio pace is historical proxy, not guidance</x:v>
      </x:c>
    </x:row>
    <x:row r="33">
      <x:c r="A33" s="95" t="n">
        <x:v>2046</x:v>
      </x:c>
      <x:c r="B33" s="108" t="n">
        <x:f>MIN('Inputs'!$B$22,MAX(0,'Inputs'!$B$23-C32))</x:f>
        <x:v>411</x:v>
      </x:c>
      <x:c r="C33" s="108" t="n">
        <x:f>SUM($B$14:B33)</x:f>
        <x:v>8220</x:v>
      </x:c>
      <x:c r="D33" s="108" t="n">
        <x:f>'Inputs'!$B$23-C33</x:f>
        <x:v>563</x:v>
      </x:c>
      <x:c r="E33" s="108" t="n">
        <x:f>$F$10/$B$10*B33</x:f>
        <x:v>22.436834878743028</x:v>
      </x:c>
      <x:c r="F33" s="109" t="n">
        <x:f>1/(1+'Inputs'!$B$17)^(A33-2026)</x:f>
        <x:v>0.14864362802414344</x:v>
      </x:c>
      <x:c r="G33" s="108" t="n">
        <x:f>E33*1000*'Inputs'!$B$32*'Inputs'!$B$24*'Inputs'!$B$31*'Inputs'!$B$8*F33</x:f>
        <x:v>3.5335934936897093</x:v>
      </x:c>
      <x:c r="H33" s="107" t="n">
        <x:f>G33/'Inputs'!$B$7</x:f>
        <x:v>0.1536573545869457</x:v>
      </x:c>
      <x:c r="I33" s="117" t="n">
        <x:f>SUM($G$14:G33)/$I$10</x:f>
        <x:v>0.39839174414445727</x:v>
      </x:c>
      <x:c r="J33" s="95" t="str">
        <x:v>Portfolio pace is historical proxy, not guidance</x:v>
      </x:c>
    </x:row>
    <x:row r="34">
      <x:c r="A34" s="95" t="n">
        <x:v>2047</x:v>
      </x:c>
      <x:c r="B34" s="108" t="n">
        <x:f>MIN('Inputs'!$B$22,MAX(0,'Inputs'!$B$23-C33))</x:f>
        <x:v>411</x:v>
      </x:c>
      <x:c r="C34" s="108" t="n">
        <x:f>SUM($B$14:B34)</x:f>
        <x:v>8631</x:v>
      </x:c>
      <x:c r="D34" s="108" t="n">
        <x:f>'Inputs'!$B$23-C34</x:f>
        <x:v>152</x:v>
      </x:c>
      <x:c r="E34" s="108" t="n">
        <x:f>$F$10/$B$10*B34</x:f>
        <x:v>22.436834878743028</x:v>
      </x:c>
      <x:c r="F34" s="109" t="n">
        <x:f>1/(1+'Inputs'!$B$17)^(A34-2026)</x:f>
        <x:v>0.13513057093103947</x:v>
      </x:c>
      <x:c r="G34" s="108" t="n">
        <x:f>E34*1000*'Inputs'!$B$32*'Inputs'!$B$24*'Inputs'!$B$31*'Inputs'!$B$8*F34</x:f>
        <x:v>3.2123577215360988</x:v>
      </x:c>
      <x:c r="H34" s="107" t="n">
        <x:f>G34/'Inputs'!$B$7</x:f>
        <x:v>0.1396885041699506</x:v>
      </x:c>
      <x:c r="I34" s="117" t="n">
        <x:f>SUM($G$14:G34)/$I$10</x:f>
        <x:v>0.40471517174922295</x:v>
      </x:c>
      <x:c r="J34" s="95" t="str">
        <x:v>Portfolio pace is historical proxy, not guidance</x:v>
      </x:c>
    </x:row>
    <x:row r="35">
      <x:c r="A35" s="95" t="n">
        <x:v>2048</x:v>
      </x:c>
      <x:c r="B35" s="108" t="n">
        <x:f>MIN('Inputs'!$B$22,MAX(0,'Inputs'!$B$23-C34))</x:f>
        <x:v>152</x:v>
      </x:c>
      <x:c r="C35" s="108" t="n">
        <x:f>SUM($B$14:B35)</x:f>
        <x:v>8783</x:v>
      </x:c>
      <x:c r="D35" s="108" t="n">
        <x:f>'Inputs'!$B$23-C35</x:f>
        <x:v>0</x:v>
      </x:c>
      <x:c r="E35" s="108" t="n">
        <x:f>$F$10/$B$10*B35</x:f>
        <x:v>8.297807546396449</x:v>
      </x:c>
      <x:c r="F35" s="109" t="n">
        <x:f>1/(1+'Inputs'!$B$17)^(A35-2026)</x:f>
        <x:v>0.12284597357367225</x:v>
      </x:c>
      <x:c r="G35" s="108" t="n">
        <x:f>E35*1000*'Inputs'!$B$32*'Inputs'!$B$24*'Inputs'!$B$31*'Inputs'!$B$8*F35</x:f>
        <x:v>1.0800229455286154</x:v>
      </x:c>
      <x:c r="H35" s="107" t="n">
        <x:f>G35/'Inputs'!$B$7</x:f>
        <x:v>0.04696450483041914</x:v>
      </x:c>
      <x:c r="I35" s="117" t="n">
        <x:f>SUM($G$14:G35)/$I$10</x:f>
        <x:v>0.40684116377736806</x:v>
      </x:c>
      <x:c r="J35" s="95" t="str">
        <x:v>Portfolio pace is historical proxy, not guidance</x:v>
      </x:c>
    </x:row>
    <x:row r="36">
      <x:c r="A36" s="95" t="n">
        <x:v>2049</x:v>
      </x:c>
      <x:c r="B36" s="108" t="n">
        <x:f>MIN('Inputs'!$B$22,MAX(0,'Inputs'!$B$23-C35))</x:f>
        <x:v>0</x:v>
      </x:c>
      <x:c r="C36" s="108" t="n">
        <x:f>SUM($B$14:B36)</x:f>
        <x:v>8783</x:v>
      </x:c>
      <x:c r="D36" s="108" t="n">
        <x:f>'Inputs'!$B$23-C36</x:f>
        <x:v>0</x:v>
      </x:c>
      <x:c r="E36" s="108" t="n">
        <x:f>$F$10/$B$10*B36</x:f>
        <x:v>0</x:v>
      </x:c>
      <x:c r="F36" s="109" t="n">
        <x:f>1/(1+'Inputs'!$B$17)^(A36-2026)</x:f>
        <x:v>0.11167815779424749</x:v>
      </x:c>
      <x:c r="G36" s="108" t="n">
        <x:f>E36*1000*'Inputs'!$B$32*'Inputs'!$B$24*'Inputs'!$B$31*'Inputs'!$B$8*F36</x:f>
        <x:v>0</x:v>
      </x:c>
      <x:c r="H36" s="107" t="n">
        <x:f>G36/'Inputs'!$B$7</x:f>
        <x:v>0</x:v>
      </x:c>
      <x:c r="I36" s="117" t="n">
        <x:f>SUM($G$14:G36)/$I$10</x:f>
        <x:v>0.40684116377736806</x:v>
      </x:c>
      <x:c r="J36" s="95" t="str">
        <x:v>No remaining locations expected at base pace</x:v>
      </x:c>
    </x:row>
    <x:row r="37">
      <x:c r="A37" s="95" t="n">
        <x:v>2050</x:v>
      </x:c>
      <x:c r="B37" s="108" t="n">
        <x:f>MIN('Inputs'!$B$22,MAX(0,'Inputs'!$B$23-C36))</x:f>
        <x:v>0</x:v>
      </x:c>
      <x:c r="C37" s="108" t="n">
        <x:f>SUM($B$14:B37)</x:f>
        <x:v>8783</x:v>
      </x:c>
      <x:c r="D37" s="108" t="n">
        <x:f>'Inputs'!$B$23-C37</x:f>
        <x:v>0</x:v>
      </x:c>
      <x:c r="E37" s="108" t="n">
        <x:f>$F$10/$B$10*B37</x:f>
        <x:v>0</x:v>
      </x:c>
      <x:c r="F37" s="109" t="n">
        <x:f>1/(1+'Inputs'!$B$17)^(A37-2026)</x:f>
        <x:v>0.10152559799477044</x:v>
      </x:c>
      <x:c r="G37" s="108" t="n">
        <x:f>E37*1000*'Inputs'!$B$32*'Inputs'!$B$24*'Inputs'!$B$31*'Inputs'!$B$8*F37</x:f>
        <x:v>0</x:v>
      </x:c>
      <x:c r="H37" s="107" t="n">
        <x:f>G37/'Inputs'!$B$7</x:f>
        <x:v>0</x:v>
      </x:c>
      <x:c r="I37" s="117" t="n">
        <x:f>SUM($G$14:G37)/$I$10</x:f>
        <x:v>0.40684116377736806</x:v>
      </x:c>
      <x:c r="J37" s="95" t="str">
        <x:v>No remaining locations expected at base pace</x:v>
      </x:c>
    </x:row>
    <x:row r="38">
      <x:c r="A38" s="95" t="n">
        <x:v>2051</x:v>
      </x:c>
      <x:c r="B38" s="108" t="n">
        <x:f>MIN('Inputs'!$B$22,MAX(0,'Inputs'!$B$23-C37))</x:f>
        <x:v>0</x:v>
      </x:c>
      <x:c r="C38" s="108" t="n">
        <x:f>SUM($B$14:B38)</x:f>
        <x:v>8783</x:v>
      </x:c>
      <x:c r="D38" s="108" t="n">
        <x:f>'Inputs'!$B$23-C38</x:f>
        <x:v>0</x:v>
      </x:c>
      <x:c r="E38" s="108" t="n">
        <x:f>$F$10/$B$10*B38</x:f>
        <x:v>0</x:v>
      </x:c>
      <x:c r="F38" s="109" t="n">
        <x:f>1/(1+'Inputs'!$B$17)^(A38-2026)</x:f>
        <x:v>0.09229599817706402</x:v>
      </x:c>
      <x:c r="G38" s="108" t="n">
        <x:f>E38*1000*'Inputs'!$B$32*'Inputs'!$B$24*'Inputs'!$B$31*'Inputs'!$B$8*F38</x:f>
        <x:v>0</x:v>
      </x:c>
      <x:c r="H38" s="107" t="n">
        <x:f>G38/'Inputs'!$B$7</x:f>
        <x:v>0</x:v>
      </x:c>
      <x:c r="I38" s="117" t="n">
        <x:f>SUM($G$14:G38)/$I$10</x:f>
        <x:v>0.40684116377736806</x:v>
      </x:c>
      <x:c r="J38" s="95" t="str">
        <x:v>No remaining locations expected at base pace</x:v>
      </x:c>
    </x:row>
    <x:row r="39">
      <x:c r="A39" s="94"/>
      <x:c r="B39" s="94"/>
      <x:c r="C39" s="94"/>
      <x:c r="D39" s="94"/>
      <x:c r="E39" s="94"/>
      <x:c r="F39" s="94"/>
      <x:c r="G39" s="94"/>
      <x:c r="H39" s="94"/>
      <x:c r="I39" s="94"/>
      <x:c r="J39" s="94"/>
    </x:row>
    <x:row r="40">
      <x:c r="A40" s="118" t="str">
        <x:v>Development NAV outputs</x:v>
      </x:c>
      <x:c r="B40" s="118"/>
      <x:c r="C40" s="118"/>
      <x:c r="D40" s="118"/>
      <x:c r="E40" s="118"/>
      <x:c r="F40" s="118"/>
      <x:c r="G40" s="118"/>
      <x:c r="H40" s="118"/>
      <x:c r="I40" s="118"/>
      <x:c r="J40" s="118"/>
    </x:row>
    <x:row r="41">
      <x:c r="A41" s="103" t="str">
        <x:v>Full undiscounted timing-ready inventory value / share</x:v>
      </x:c>
      <x:c r="B41" s="107" t="n">
        <x:f>I10/'Inputs'!B7</x:f>
        <x:v>22.090630730819644</x:v>
      </x:c>
      <x:c r="C41" s="95" t="str">
        <x:v>USD/share</x:v>
      </x:c>
      <x:c r="D41" s="95" t="str">
        <x:v>No time-to-first-production discount</x:v>
      </x:c>
      <x:c r="E41" s="94"/>
      <x:c r="F41" s="94"/>
      <x:c r="G41" s="94"/>
      <x:c r="H41" s="94"/>
      <x:c r="I41" s="94"/>
      <x:c r="J41" s="94"/>
    </x:row>
    <x:row r="42">
      <x:c r="A42" s="103" t="str">
        <x:v>Dated schedule inventory NAV / share</x:v>
      </x:c>
      <x:c r="B42" s="107" t="n">
        <x:f>SUM(H14:H38)</x:f>
        <x:v>8.987377915102748</x:v>
      </x:c>
      <x:c r="C42" s="95" t="str">
        <x:v>USD/share</x:v>
      </x:c>
      <x:c r="D42" s="95" t="str">
        <x:v>Sum of dated present values</x:v>
      </x:c>
      <x:c r="E42" s="94"/>
      <x:c r="F42" s="94"/>
      <x:c r="G42" s="94"/>
      <x:c r="H42" s="94"/>
      <x:c r="I42" s="94"/>
      <x:c r="J42" s="94"/>
    </x:row>
    <x:row r="43">
      <x:c r="A43" s="103" t="str">
        <x:v>Dated schedule inventory NAV</x:v>
      </x:c>
      <x:c r="B43" s="107" t="n">
        <x:f>SUM(G14:G38)</x:f>
        <x:v>206.67894622751578</x:v>
      </x:c>
      <x:c r="C43" s="95" t="str">
        <x:v>USD million</x:v>
      </x:c>
      <x:c r="D43" s="95" t="str">
        <x:v>Sum of yearly PV inventory</x:v>
      </x:c>
      <x:c r="E43" s="94"/>
      <x:c r="F43" s="94"/>
      <x:c r="G43" s="94"/>
      <x:c r="H43" s="94"/>
      <x:c r="I43" s="94"/>
      <x:c r="J43" s="94"/>
    </x:row>
    <x:row r="44">
      <x:c r="A44" s="103" t="str">
        <x:v>End-of-schedule timing factor</x:v>
      </x:c>
      <x:c r="B44" s="117" t="n">
        <x:f>B43/I10</x:f>
        <x:v>0.40684116377736806</x:v>
      </x:c>
      <x:c r="C44" s="95" t="str">
        <x:v>%</x:v>
      </x:c>
      <x:c r="D44" s="95" t="str">
        <x:v>Dated PV / full timing-ready inventory value</x:v>
      </x:c>
      <x:c r="E44" s="94"/>
      <x:c r="F44" s="94"/>
      <x:c r="G44" s="94"/>
      <x:c r="H44" s="94"/>
      <x:c r="I44" s="94"/>
      <x:c r="J44" s="94"/>
    </x:row>
    <x:row r="45">
      <x:c r="A45" s="94"/>
      <x:c r="B45" s="94"/>
      <x:c r="C45" s="94"/>
      <x:c r="D45" s="94"/>
      <x:c r="E45" s="94"/>
      <x:c r="F45" s="94"/>
      <x:c r="G45" s="94"/>
      <x:c r="H45" s="94"/>
      <x:c r="I45" s="94"/>
      <x:c r="J45" s="94"/>
    </x:row>
    <x:row r="46">
      <x:c r="A46" s="11" t="str">
        <x:v>Operator development proxy - not acreage fact</x:v>
      </x:c>
      <x:c r="B46" s="11" t="str">
        <x:v>Operator development proxy - not acreage fact</x:v>
      </x:c>
      <x:c r="C46" s="11" t="str">
        <x:v>Operator development proxy - not acreage fact</x:v>
      </x:c>
      <x:c r="D46" s="11" t="str">
        <x:v>Operator development proxy - not acreage fact</x:v>
      </x:c>
      <x:c r="E46" s="11" t="str">
        <x:v>Operator development proxy - not acreage fact</x:v>
      </x:c>
      <x:c r="F46" s="11" t="str">
        <x:v>Operator development proxy - not acreage fact</x:v>
      </x:c>
      <x:c r="G46" s="11" t="str">
        <x:v>Operator development proxy - not acreage fact</x:v>
      </x:c>
      <x:c r="H46" s="11" t="str">
        <x:v>Operator development proxy - not acreage fact</x:v>
      </x:c>
      <x:c r="I46" s="11" t="str">
        <x:v>Operator development proxy - not acreage fact</x:v>
      </x:c>
      <x:c r="J46" s="11" t="str">
        <x:v>Operator development proxy - not acreage fact</x:v>
      </x:c>
    </x:row>
    <x:row r="47">
      <x:c r="A47" s="17" t="str">
        <x:v>Basin</x:v>
      </x:c>
      <x:c r="B47" s="17" t="str">
        <x:v>Operator</x:v>
      </x:c>
      <x:c r="C47" s="17" t="str">
        <x:v>Production mix</x:v>
      </x:c>
      <x:c r="D47" s="17" t="str">
        <x:v>Proxy locations</x:v>
      </x:c>
      <x:c r="E47" s="17" t="str">
        <x:v>Proxy TILs/year</x:v>
      </x:c>
      <x:c r="F47" s="17" t="str">
        <x:v>Implied years</x:v>
      </x:c>
      <x:c r="G47" s="17" t="str">
        <x:v>First production starts</x:v>
      </x:c>
      <x:c r="H47" s="17" t="str">
        <x:v>Evidence status</x:v>
      </x:c>
      <x:c r="I47" s="94"/>
      <x:c r="J47" s="94"/>
    </x:row>
    <x:row r="48">
      <x:c r="A48" s="95" t="str">
        <x:v>Appalachia</x:v>
      </x:c>
      <x:c r="B48" s="95" t="str">
        <x:v>EQT</x:v>
      </x:c>
      <x:c r="C48" s="101" t="n">
        <x:v>0.483</x:v>
      </x:c>
      <x:c r="D48" s="119" t="n">
        <x:v>1349</x:v>
      </x:c>
      <x:c r="E48" s="119" t="n">
        <x:v>63.1</x:v>
      </x:c>
      <x:c r="F48" s="119" t="n">
        <x:v>21.4</x:v>
      </x:c>
      <x:c r="G48" s="120" t="n">
        <x:v>2027</x:v>
      </x:c>
      <x:c r="H48" s="95" t="str">
        <x:v>Operator known; allocation is production proxy</x:v>
      </x:c>
      <x:c r="I48" s="94"/>
      <x:c r="J48" s="94"/>
    </x:row>
    <x:row r="49">
      <x:c r="A49" s="95" t="str">
        <x:v>Appalachia</x:v>
      </x:c>
      <x:c r="B49" s="95" t="str">
        <x:v>Antero</x:v>
      </x:c>
      <x:c r="C49" s="101" t="n">
        <x:v>0.146</x:v>
      </x:c>
      <x:c r="D49" s="119" t="n">
        <x:v>408</x:v>
      </x:c>
      <x:c r="E49" s="119" t="n">
        <x:v>19.1</x:v>
      </x:c>
      <x:c r="F49" s="119" t="n">
        <x:v>21.4</x:v>
      </x:c>
      <x:c r="G49" s="120" t="n">
        <x:v>2027</x:v>
      </x:c>
      <x:c r="H49" s="95" t="str">
        <x:v>Operator known; allocation is production proxy</x:v>
      </x:c>
      <x:c r="I49" s="94"/>
      <x:c r="J49" s="94"/>
    </x:row>
    <x:row r="50">
      <x:c r="A50" s="95" t="str">
        <x:v>Appalachia</x:v>
      </x:c>
      <x:c r="B50" s="95" t="str">
        <x:v>Range</x:v>
      </x:c>
      <x:c r="C50" s="101" t="n">
        <x:v>0.145</x:v>
      </x:c>
      <x:c r="D50" s="119" t="n">
        <x:v>405</x:v>
      </x:c>
      <x:c r="E50" s="119" t="n">
        <x:v>19</x:v>
      </x:c>
      <x:c r="F50" s="119" t="n">
        <x:v>21.4</x:v>
      </x:c>
      <x:c r="G50" s="120" t="n">
        <x:v>2027</x:v>
      </x:c>
      <x:c r="H50" s="95" t="str">
        <x:v>Operator known; allocation is production proxy</x:v>
      </x:c>
      <x:c r="I50" s="94"/>
      <x:c r="J50" s="94"/>
    </x:row>
    <x:row r="51">
      <x:c r="A51" s="95" t="str">
        <x:v>Appalachia</x:v>
      </x:c>
      <x:c r="B51" s="95" t="str">
        <x:v>CNX</x:v>
      </x:c>
      <x:c r="C51" s="101" t="n">
        <x:v>0.135</x:v>
      </x:c>
      <x:c r="D51" s="119" t="n">
        <x:v>377</x:v>
      </x:c>
      <x:c r="E51" s="119" t="n">
        <x:v>17.6</x:v>
      </x:c>
      <x:c r="F51" s="119" t="n">
        <x:v>21.4</x:v>
      </x:c>
      <x:c r="G51" s="120" t="n">
        <x:v>2027</x:v>
      </x:c>
      <x:c r="H51" s="95" t="str">
        <x:v>Operator known; allocation is production proxy</x:v>
      </x:c>
      <x:c r="I51" s="94"/>
      <x:c r="J51" s="94"/>
    </x:row>
    <x:row r="52">
      <x:c r="A52" s="95" t="str">
        <x:v>Appalachia</x:v>
      </x:c>
      <x:c r="B52" s="95" t="str">
        <x:v>Expand</x:v>
      </x:c>
      <x:c r="C52" s="101" t="n">
        <x:v>0.039</x:v>
      </x:c>
      <x:c r="D52" s="119" t="n">
        <x:v>109</x:v>
      </x:c>
      <x:c r="E52" s="119" t="n">
        <x:v>5.1</x:v>
      </x:c>
      <x:c r="F52" s="119" t="n">
        <x:v>21.4</x:v>
      </x:c>
      <x:c r="G52" s="120" t="n">
        <x:v>2027</x:v>
      </x:c>
      <x:c r="H52" s="95" t="str">
        <x:v>Operator known; allocation is production proxy</x:v>
      </x:c>
      <x:c r="I52" s="94"/>
      <x:c r="J52" s="94"/>
    </x:row>
    <x:row r="53">
      <x:c r="A53" s="95" t="str">
        <x:v>Appalachia</x:v>
      </x:c>
      <x:c r="B53" s="95" t="str">
        <x:v>Other</x:v>
      </x:c>
      <x:c r="C53" s="101" t="n">
        <x:v>0.052</x:v>
      </x:c>
      <x:c r="D53" s="119" t="n">
        <x:v>145</x:v>
      </x:c>
      <x:c r="E53" s="119" t="n">
        <x:v>6.8</x:v>
      </x:c>
      <x:c r="F53" s="119" t="n">
        <x:v>21.4</x:v>
      </x:c>
      <x:c r="G53" s="120" t="n">
        <x:v>2027</x:v>
      </x:c>
      <x:c r="H53" s="95" t="str">
        <x:v>Aggregated production proxy</x:v>
      </x:c>
      <x:c r="I53" s="94"/>
      <x:c r="J53" s="94"/>
    </x:row>
    <x:row r="54">
      <x:c r="A54" s="95" t="str">
        <x:v>Haynesville</x:v>
      </x:c>
      <x:c r="B54" s="95" t="str">
        <x:v>Expand</x:v>
      </x:c>
      <x:c r="C54" s="101" t="n">
        <x:v>0.376</x:v>
      </x:c>
      <x:c r="D54" s="119" t="n">
        <x:v>594</x:v>
      </x:c>
      <x:c r="E54" s="119" t="n">
        <x:v>27.8</x:v>
      </x:c>
      <x:c r="F54" s="119" t="n">
        <x:v>21.4</x:v>
      </x:c>
      <x:c r="G54" s="120" t="n">
        <x:v>2027</x:v>
      </x:c>
      <x:c r="H54" s="95" t="str">
        <x:v>Operator known; allocation is production proxy</x:v>
      </x:c>
      <x:c r="I54" s="94"/>
      <x:c r="J54" s="94"/>
    </x:row>
    <x:row r="55">
      <x:c r="A55" s="95" t="str">
        <x:v>Haynesville</x:v>
      </x:c>
      <x:c r="B55" s="95" t="str">
        <x:v>Aethon</x:v>
      </x:c>
      <x:c r="C55" s="101" t="n">
        <x:v>0.183</x:v>
      </x:c>
      <x:c r="D55" s="119" t="n">
        <x:v>289</x:v>
      </x:c>
      <x:c r="E55" s="119" t="n">
        <x:v>13.5</x:v>
      </x:c>
      <x:c r="F55" s="119" t="n">
        <x:v>21.4</x:v>
      </x:c>
      <x:c r="G55" s="120" t="n">
        <x:v>2027</x:v>
      </x:c>
      <x:c r="H55" s="95" t="str">
        <x:v>Operator known; allocation is production proxy</x:v>
      </x:c>
      <x:c r="I55" s="94"/>
      <x:c r="J55" s="94"/>
    </x:row>
    <x:row r="56">
      <x:c r="A56" s="95" t="str">
        <x:v>Haynesville</x:v>
      </x:c>
      <x:c r="B56" s="95" t="str">
        <x:v>Comstock</x:v>
      </x:c>
      <x:c r="C56" s="101" t="n">
        <x:v>0.079</x:v>
      </x:c>
      <x:c r="D56" s="119" t="n">
        <x:v>125</x:v>
      </x:c>
      <x:c r="E56" s="119" t="n">
        <x:v>5.9</x:v>
      </x:c>
      <x:c r="F56" s="119" t="n">
        <x:v>21.4</x:v>
      </x:c>
      <x:c r="G56" s="120" t="n">
        <x:v>2027</x:v>
      </x:c>
      <x:c r="H56" s="95" t="str">
        <x:v>Operator known; allocation is production proxy</x:v>
      </x:c>
      <x:c r="I56" s="94"/>
      <x:c r="J56" s="94"/>
    </x:row>
    <x:row r="57">
      <x:c r="A57" s="95" t="str">
        <x:v>Haynesville</x:v>
      </x:c>
      <x:c r="B57" s="95" t="str">
        <x:v>Trinity</x:v>
      </x:c>
      <x:c r="C57" s="101" t="n">
        <x:v>0.053</x:v>
      </x:c>
      <x:c r="D57" s="119" t="n">
        <x:v>84</x:v>
      </x:c>
      <x:c r="E57" s="119" t="n">
        <x:v>3.9</x:v>
      </x:c>
      <x:c r="F57" s="119" t="n">
        <x:v>21.4</x:v>
      </x:c>
      <x:c r="G57" s="120" t="n">
        <x:v>2027</x:v>
      </x:c>
      <x:c r="H57" s="95" t="str">
        <x:v>Operator known; allocation is production proxy</x:v>
      </x:c>
      <x:c r="I57" s="94"/>
      <x:c r="J57" s="94"/>
    </x:row>
    <x:row r="58">
      <x:c r="A58" s="95" t="str">
        <x:v>Haynesville</x:v>
      </x:c>
      <x:c r="B58" s="95" t="str">
        <x:v>TG Natural</x:v>
      </x:c>
      <x:c r="C58" s="101" t="n">
        <x:v>0.052</x:v>
      </x:c>
      <x:c r="D58" s="119" t="n">
        <x:v>82</x:v>
      </x:c>
      <x:c r="E58" s="119" t="n">
        <x:v>3.8</x:v>
      </x:c>
      <x:c r="F58" s="119" t="n">
        <x:v>21.4</x:v>
      </x:c>
      <x:c r="G58" s="120" t="n">
        <x:v>2027</x:v>
      </x:c>
      <x:c r="H58" s="95" t="str">
        <x:v>Operator known; allocation is production proxy</x:v>
      </x:c>
      <x:c r="I58" s="94"/>
      <x:c r="J58" s="94"/>
    </x:row>
    <x:row r="59">
      <x:c r="A59" s="95" t="str">
        <x:v>Haynesville</x:v>
      </x:c>
      <x:c r="B59" s="95" t="str">
        <x:v>Other</x:v>
      </x:c>
      <x:c r="C59" s="101" t="n">
        <x:v>0.257</x:v>
      </x:c>
      <x:c r="D59" s="119" t="n">
        <x:v>406</x:v>
      </x:c>
      <x:c r="E59" s="119" t="n">
        <x:v>19</x:v>
      </x:c>
      <x:c r="F59" s="119" t="n">
        <x:v>21.4</x:v>
      </x:c>
      <x:c r="G59" s="120" t="n">
        <x:v>2027</x:v>
      </x:c>
      <x:c r="H59" s="95" t="str">
        <x:v>Aggregated production proxy</x:v>
      </x:c>
      <x:c r="I59" s="94"/>
      <x:c r="J59" s="94"/>
    </x:row>
    <x:row r="60">
      <x:c r="A60" s="95" t="str">
        <x:v>Mid-Continent</x:v>
      </x:c>
      <x:c r="B60" s="95" t="str">
        <x:v>All operators</x:v>
      </x:c>
      <x:c r="C60" s="101" t="n">
        <x:v>1</x:v>
      </x:c>
      <x:c r="D60" s="119" t="n">
        <x:v>3952</x:v>
      </x:c>
      <x:c r="E60" s="119" t="n">
        <x:v>185</x:v>
      </x:c>
      <x:c r="F60" s="119" t="n">
        <x:v>21.4</x:v>
      </x:c>
      <x:c r="G60" s="120" t="n">
        <x:v>2027</x:v>
      </x:c>
      <x:c r="H60" s="95" t="str">
        <x:v>Basin only; location intersection pending</x:v>
      </x:c>
      <x:c r="I60" s="94"/>
      <x:c r="J60" s="94"/>
    </x:row>
    <x:row r="61">
      <x:c r="A61" s="95" t="str">
        <x:v>Other</x:v>
      </x:c>
      <x:c r="B61" s="95" t="str">
        <x:v>All operators</x:v>
      </x:c>
      <x:c r="C61" s="101" t="n">
        <x:v>1</x:v>
      </x:c>
      <x:c r="D61" s="119" t="n">
        <x:v>458</x:v>
      </x:c>
      <x:c r="E61" s="119" t="n">
        <x:v>21.4</x:v>
      </x:c>
      <x:c r="F61" s="119" t="n">
        <x:v>21.4</x:v>
      </x:c>
      <x:c r="G61" s="120" t="n">
        <x:v>2027</x:v>
      </x:c>
      <x:c r="H61" s="95" t="str">
        <x:v>Basin only; location intersection pending</x:v>
      </x:c>
      <x:c r="I61" s="94"/>
      <x:c r="J61" s="94"/>
    </x:row>
    <x:row r="62">
      <x:c r="A62" s="94"/>
      <x:c r="B62" s="94"/>
      <x:c r="C62" s="94"/>
      <x:c r="D62" s="94"/>
      <x:c r="E62" s="94"/>
      <x:c r="F62" s="94"/>
      <x:c r="G62" s="94"/>
      <x:c r="H62" s="94"/>
      <x:c r="I62" s="94"/>
      <x:c r="J62" s="94"/>
    </x:row>
    <x:row r="63">
      <x:c r="A63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B63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C63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D63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E63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F63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G63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H63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I63" s="94"/>
      <x:c r="J63" s="94"/>
    </x:row>
    <x:row r="64">
      <x:c r="A64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B64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C64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D64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E64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F64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G64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H64" s="72" t="str">
        <x:v>To convert this proxy into an investable development NAV, replace proxy locations with tract/permit intersections and add well-specific first-production dates, lateral lengths, EUR distributions, royalty NRI, pricing differentials and operator capital-allocation sequences.</x:v>
      </x:c>
      <x:c r="I64" s="94"/>
      <x:c r="J64" s="94"/>
    </x:row>
  </x:sheetData>
  <x:mergeCells>
    <x:mergeCell ref="A1:J1"/>
    <x:mergeCell ref="A2:J2"/>
    <x:mergeCell ref="A4:J4"/>
    <x:mergeCell ref="A12:J12"/>
    <x:mergeCell ref="A46:J46"/>
    <x:mergeCell ref="A63:H6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23" hidden="0" customWidth="1"/>
  </x:cols>
  <x:sheetData>
    <x:row r="1" ht="28" customHeight="1">
      <x:c r="A1" s="4" t="str">
        <x:v>Market-Implied Reverse Valuation</x:v>
      </x:c>
      <x:c r="B1" s="4" t="str">
        <x:v>Market-Implied Reverse Valuation</x:v>
      </x:c>
      <x:c r="C1" s="4" t="str">
        <x:v>Market-Implied Reverse Valuation</x:v>
      </x:c>
      <x:c r="D1" s="4" t="str">
        <x:v>Market-Implied Reverse Valuation</x:v>
      </x:c>
      <x:c r="E1" s="4" t="str">
        <x:v>Market-Implied Reverse Valuation</x:v>
      </x:c>
      <x:c r="F1" s="4" t="str">
        <x:v>Market-Implied Reverse Valuation</x:v>
      </x:c>
      <x:c r="G1" s="4" t="str">
        <x:v>Market-Implied Reverse Valuation</x:v>
      </x:c>
    </x:row>
    <x:row r="2">
      <x:c r="A2" s="40" t="str">
        <x:v>These cases ask what must be true to support the market price. They are a reconciliation tool, not forecasts or price targets.</x:v>
      </x:c>
      <x:c r="B2" s="40" t="str">
        <x:v>These cases ask what must be true to support the market price. They are a reconciliation tool, not forecasts or price targets.</x:v>
      </x:c>
      <x:c r="C2" s="40" t="str">
        <x:v>These cases ask what must be true to support the market price. They are a reconciliation tool, not forecasts or price targets.</x:v>
      </x:c>
      <x:c r="D2" s="40" t="str">
        <x:v>These cases ask what must be true to support the market price. They are a reconciliation tool, not forecasts or price targets.</x:v>
      </x:c>
      <x:c r="E2" s="40" t="str">
        <x:v>These cases ask what must be true to support the market price. They are a reconciliation tool, not forecasts or price targets.</x:v>
      </x:c>
      <x:c r="F2" s="40" t="str">
        <x:v>These cases ask what must be true to support the market price. They are a reconciliation tool, not forecasts or price targets.</x:v>
      </x:c>
      <x:c r="G2" s="40" t="str">
        <x:v>These cases ask what must be true to support the market price. They are a reconciliation tool, not forecasts or price targets.</x:v>
      </x:c>
    </x:row>
    <x:row r="3">
      <x:c r="A3" s="94"/>
      <x:c r="B3" s="94"/>
      <x:c r="C3" s="94"/>
      <x:c r="D3" s="94"/>
      <x:c r="E3" s="94"/>
      <x:c r="F3" s="94"/>
      <x:c r="G3" s="94"/>
    </x:row>
    <x:row r="4">
      <x:c r="A4" s="11" t="str">
        <x:v>Value bridge at reference share price</x:v>
      </x:c>
      <x:c r="B4" s="11" t="str">
        <x:v>Value bridge at reference share price</x:v>
      </x:c>
      <x:c r="C4" s="11" t="str">
        <x:v>Value bridge at reference share price</x:v>
      </x:c>
      <x:c r="D4" s="11" t="str">
        <x:v>Value bridge at reference share price</x:v>
      </x:c>
      <x:c r="E4" s="11" t="str">
        <x:v>Value bridge at reference share price</x:v>
      </x:c>
      <x:c r="F4" s="11" t="str">
        <x:v>Value bridge at reference share price</x:v>
      </x:c>
      <x:c r="G4" s="11" t="str">
        <x:v>Value bridge at reference share price</x:v>
      </x:c>
    </x:row>
    <x:row r="5">
      <x:c r="A5" s="17" t="str">
        <x:v>Case</x:v>
      </x:c>
      <x:c r="B5" s="17" t="str">
        <x:v>PDP value / share</x:v>
      </x:c>
      <x:c r="C5" s="17" t="str">
        <x:v>Inventory value / share</x:v>
      </x:c>
      <x:c r="D5" s="17" t="str">
        <x:v>Capital allocation / share</x:v>
      </x:c>
      <x:c r="E5" s="17" t="str">
        <x:v>Total value / share</x:v>
      </x:c>
      <x:c r="F5" s="17" t="str">
        <x:v>Gap to market</x:v>
      </x:c>
      <x:c r="G5" s="17" t="str">
        <x:v>Implied inventory unit multiplier</x:v>
      </x:c>
    </x:row>
    <x:row r="6">
      <x:c r="A6" s="95" t="str">
        <x:v>Existing contract</x:v>
      </x:c>
      <x:c r="B6" s="107" t="n">
        <x:f>'PDP DCF'!C5</x:f>
        <x:v>5.0024104845087</x:v>
      </x:c>
      <x:c r="C6" s="107" t="n">
        <x:f>'Development NAV'!B41*17%</x:f>
        <x:v>3.75540722423934</x:v>
      </x:c>
      <x:c r="D6" s="107" t="n">
        <x:f>0</x:f>
        <x:v>0</x:v>
      </x:c>
      <x:c r="E6" s="107" t="n">
        <x:f>SUM(B6:D6)</x:f>
        <x:v>8.757817708748039</x:v>
      </x:c>
      <x:c r="F6" s="107" t="n">
        <x:f>'Inputs'!$B$6-E6</x:f>
        <x:v>17.40218229125196</x:v>
      </x:c>
      <x:c r="G6" s="121" t="n">
        <x:f>('Inputs'!$B$6-B6-D6)/C6</x:f>
        <x:v>5.63390020100331</x:v>
      </x:c>
    </x:row>
    <x:row r="7">
      <x:c r="A7" s="95" t="str">
        <x:v>Legacy CAFD + dated 411-TIL schedule</x:v>
      </x:c>
      <x:c r="B7" s="107" t="n">
        <x:f>'PDP DCF'!C5</x:f>
        <x:v>5.0024104845087</x:v>
      </x:c>
      <x:c r="C7" s="107" t="n">
        <x:f>'Development NAV'!B42</x:f>
        <x:v>8.987377915102748</x:v>
      </x:c>
      <x:c r="D7" s="107" t="n">
        <x:f>'Inputs'!B25</x:f>
        <x:v>2.105836710707234</x:v>
      </x:c>
      <x:c r="E7" s="107" t="n">
        <x:f>SUM(B7:D7)</x:f>
        <x:v>16.095625110318682</x:v>
      </x:c>
      <x:c r="F7" s="107" t="n">
        <x:f>'Inputs'!$B$6-E7</x:f>
        <x:v>10.064374889681318</x:v>
      </x:c>
      <x:c r="G7" s="121" t="n">
        <x:f>('Inputs'!$B$6-B7-D7)/C7</x:f>
        <x:v>2.119834392717451</x:v>
      </x:c>
    </x:row>
    <x:row r="8">
      <x:c r="A8" s="95" t="str">
        <x:v>Recurring CAFD + dated 411-TIL schedule</x:v>
      </x:c>
      <x:c r="B8" s="107" t="n">
        <x:f>'PDP DCF'!D5</x:f>
        <x:v>2.9845116798178464</x:v>
      </x:c>
      <x:c r="C8" s="107" t="n">
        <x:f>'Development NAV'!B42</x:f>
        <x:v>8.987377915102748</x:v>
      </x:c>
      <x:c r="D8" s="107" t="n">
        <x:f>'Inputs'!B25</x:f>
        <x:v>2.105836710707234</x:v>
      </x:c>
      <x:c r="E8" s="107" t="n">
        <x:f>SUM(B8:D8)</x:f>
        <x:v>14.077726305627827</x:v>
      </x:c>
      <x:c r="F8" s="107" t="n">
        <x:f>'Inputs'!$B$6-E8</x:f>
        <x:v>12.082273694372173</x:v>
      </x:c>
      <x:c r="G8" s="121" t="n">
        <x:f>('Inputs'!$B$6-B8-D8)/C8</x:f>
        <x:v>2.3443602581870557</x:v>
      </x:c>
    </x:row>
    <x:row r="9">
      <x:c r="A9" s="94"/>
      <x:c r="B9" s="94"/>
      <x:c r="C9" s="94"/>
      <x:c r="D9" s="94"/>
      <x:c r="E9" s="94"/>
      <x:c r="F9" s="94"/>
      <x:c r="G9" s="94"/>
    </x:row>
    <x:row r="10">
      <x:c r="A10" s="11" t="str">
        <x:v>Implied operating burden in active recurring-CAFD case</x:v>
      </x:c>
      <x:c r="B10" s="11" t="str">
        <x:v>Implied operating burden in active recurring-CAFD case</x:v>
      </x:c>
      <x:c r="C10" s="11" t="str">
        <x:v>Implied operating burden in active recurring-CAFD case</x:v>
      </x:c>
      <x:c r="D10" s="11" t="str">
        <x:v>Implied operating burden in active recurring-CAFD case</x:v>
      </x:c>
      <x:c r="E10" s="11" t="str">
        <x:v>Implied operating burden in active recurring-CAFD case</x:v>
      </x:c>
      <x:c r="F10" s="11" t="str">
        <x:v>Implied operating burden in active recurring-CAFD case</x:v>
      </x:c>
      <x:c r="G10" s="11" t="str">
        <x:v>Implied operating burden in active recurring-CAFD case</x:v>
      </x:c>
    </x:row>
    <x:row r="11">
      <x:c r="A11" s="17" t="str">
        <x:v>Metric</x:v>
      </x:c>
      <x:c r="B11" s="17" t="str">
        <x:v>Value</x:v>
      </x:c>
      <x:c r="C11" s="17" t="str">
        <x:v>Units</x:v>
      </x:c>
      <x:c r="D11" s="17" t="str">
        <x:v>Interpretation</x:v>
      </x:c>
      <x:c r="E11" s="94"/>
      <x:c r="F11" s="94"/>
      <x:c r="G11" s="94"/>
    </x:row>
    <x:row r="12">
      <x:c r="A12" s="95" t="str">
        <x:v>Reference market price</x:v>
      </x:c>
      <x:c r="B12" s="107" t="n">
        <x:f>'Inputs'!B6</x:f>
        <x:v>26.16</x:v>
      </x:c>
      <x:c r="C12" s="95" t="str">
        <x:v>USD/share</x:v>
      </x:c>
      <x:c r="D12" s="95" t="str">
        <x:v>Input market reference</x:v>
      </x:c>
      <x:c r="E12" s="94"/>
      <x:c r="F12" s="94"/>
      <x:c r="G12" s="94"/>
    </x:row>
    <x:row r="13">
      <x:c r="A13" s="95" t="str">
        <x:v>Implied unit PV-10 value</x:v>
      </x:c>
      <x:c r="B13" s="107" t="n">
        <x:f>'Inputs'!B32*1000*G8</x:f>
        <x:v>3.3346498778385376</x:v>
      </x:c>
      <x:c r="C13" s="95" t="str">
        <x:v>USD/Mcfe</x:v>
      </x:c>
      <x:c r="D13" s="95" t="str">
        <x:v>If all residual gap were unit economics; linear illustration only</x:v>
      </x:c>
      <x:c r="E13" s="94"/>
      <x:c r="F13" s="94"/>
      <x:c r="G13" s="94"/>
    </x:row>
    <x:row r="14">
      <x:c r="A14" s="95" t="str">
        <x:v>Implied Henry Hub price</x:v>
      </x:c>
      <x:c r="B14" s="107" t="n">
        <x:f>'Inputs'!B21*G8</x:f>
        <x:v>7.940348194479558</x:v>
      </x:c>
      <x:c r="C14" s="95" t="str">
        <x:v>USD/MMBtu</x:v>
      </x:c>
      <x:c r="D14" s="95" t="str">
        <x:v>Mechanical unit-multiple application; not a strip forecast</x:v>
      </x:c>
      <x:c r="E14" s="94"/>
      <x:c r="F14" s="94"/>
      <x:c r="G14" s="94"/>
    </x:row>
    <x:row r="15">
      <x:c r="A15" s="95" t="str">
        <x:v>Implied perpetual PDP growth</x:v>
      </x:c>
      <x:c r="B15" s="117" t="n">
        <x:f>((('Inputs'!B6-C8-D8)*'Inputs'!B17)-('Inputs'!B29*'Inputs'!B8/'Inputs'!B7))/(('Inputs'!B6-C8-D8)+('Inputs'!B29*'Inputs'!B8/'Inputs'!B7))</x:f>
        <x:v>0.04378691878976282</x:v>
      </x:c>
      <x:c r="C15" s="95" t="str">
        <x:v>%</x:v>
      </x:c>
      <x:c r="D15" s="95" t="str">
        <x:v>Growth required if inventory schedule stays fixed</x:v>
      </x:c>
      <x:c r="E15" s="94"/>
      <x:c r="F15" s="94"/>
      <x:c r="G15" s="94"/>
    </x:row>
    <x:row r="16">
      <x:c r="A16" s="94"/>
      <x:c r="B16" s="94"/>
      <x:c r="C16" s="94"/>
      <x:c r="D16" s="94"/>
      <x:c r="E16" s="94"/>
      <x:c r="F16" s="94"/>
      <x:c r="G16" s="94"/>
    </x:row>
    <x:row r="17">
      <x:c r="A17" s="11" t="str">
        <x:v>Development-pace sensitivity - recurring CAFD case</x:v>
      </x:c>
      <x:c r="B17" s="11" t="str">
        <x:v>Development-pace sensitivity - recurring CAFD case</x:v>
      </x:c>
      <x:c r="C17" s="11" t="str">
        <x:v>Development-pace sensitivity - recurring CAFD case</x:v>
      </x:c>
      <x:c r="D17" s="11" t="str">
        <x:v>Development-pace sensitivity - recurring CAFD case</x:v>
      </x:c>
      <x:c r="E17" s="11" t="str">
        <x:v>Development-pace sensitivity - recurring CAFD case</x:v>
      </x:c>
      <x:c r="F17" s="11" t="str">
        <x:v>Development-pace sensitivity - recurring CAFD case</x:v>
      </x:c>
      <x:c r="G17" s="11" t="str">
        <x:v>Development-pace sensitivity - recurring CAFD case</x:v>
      </x:c>
    </x:row>
    <x:row r="18">
      <x:c r="A18" s="17" t="str">
        <x:v>Gross TILs/year</x:v>
      </x:c>
      <x:c r="B18" s="17" t="str">
        <x:v>Development years</x:v>
      </x:c>
      <x:c r="C18" s="17" t="str">
        <x:v>Timing factor</x:v>
      </x:c>
      <x:c r="D18" s="17" t="str">
        <x:v>Inventory / share</x:v>
      </x:c>
      <x:c r="E18" s="17" t="str">
        <x:v>PDP / share</x:v>
      </x:c>
      <x:c r="F18" s="17" t="str">
        <x:v>Capital allocation / share</x:v>
      </x:c>
      <x:c r="G18" s="17" t="str">
        <x:v>Total / share</x:v>
      </x:c>
    </x:row>
    <x:row r="19">
      <x:c r="A19" s="122" t="n">
        <x:v>100</x:v>
      </x:c>
      <x:c r="B19" s="111" t="n">
        <x:f>'Inputs'!$B$23/A19</x:f>
        <x:v>87.83</x:v>
      </x:c>
      <x:c r="C19" s="117" t="n">
        <x:f>(1/(1+'Inputs'!$B$17))*(1-(1/(1+'Inputs'!$B$17))^B19)/(B19*(1-1/(1+'Inputs'!$B$17)) )</x:f>
        <x:v>0.11382995987639154</x:v>
      </x:c>
      <x:c r="D19" s="107" t="n">
        <x:f>'Development NAV'!$B$41*C19</x:f>
        <x:v>2.514575609733382</x:v>
      </x:c>
      <x:c r="E19" s="107" t="n">
        <x:f>'PDP DCF'!$D$5</x:f>
        <x:v>2.9845116798178464</x:v>
      </x:c>
      <x:c r="F19" s="107" t="n">
        <x:f>'Inputs'!$B$25</x:f>
        <x:v>2.105836710707234</x:v>
      </x:c>
      <x:c r="G19" s="107" t="n">
        <x:f>SUM(D19:F19)</x:f>
        <x:v>7.604924000258462</x:v>
      </x:c>
    </x:row>
    <x:row r="20">
      <x:c r="A20" s="122" t="n">
        <x:v>200</x:v>
      </x:c>
      <x:c r="B20" s="111" t="n">
        <x:f>'Inputs'!$B$23/A20</x:f>
        <x:v>43.915</x:v>
      </x:c>
      <x:c r="C20" s="117" t="n">
        <x:f>(1/(1+'Inputs'!$B$17))*(1-(1/(1+'Inputs'!$B$17))^B20)/(B20*(1-1/(1+'Inputs'!$B$17)) )</x:f>
        <x:v>0.2242482321353437</x:v>
      </x:c>
      <x:c r="D20" s="107" t="n">
        <x:f>'Development NAV'!$B$41*C20</x:f>
        <x:v>4.9537848881410005</x:v>
      </x:c>
      <x:c r="E20" s="107" t="n">
        <x:f>'PDP DCF'!$D$5</x:f>
        <x:v>2.9845116798178464</x:v>
      </x:c>
      <x:c r="F20" s="107" t="n">
        <x:f>'Inputs'!$B$25</x:f>
        <x:v>2.105836710707234</x:v>
      </x:c>
      <x:c r="G20" s="107" t="n">
        <x:f>SUM(D20:F20)</x:f>
        <x:v>10.04413327866608</x:v>
      </x:c>
    </x:row>
    <x:row r="21">
      <x:c r="A21" s="122" t="n">
        <x:v>300</x:v>
      </x:c>
      <x:c r="B21" s="111" t="n">
        <x:f>'Inputs'!$B$23/A21</x:f>
        <x:v>29.276666666666667</x:v>
      </x:c>
      <x:c r="C21" s="117" t="n">
        <x:f>(1/(1+'Inputs'!$B$17))*(1-(1/(1+'Inputs'!$B$17))^B21)/(B21*(1-1/(1+'Inputs'!$B$17)) )</x:f>
        <x:v>0.320597003879728</x:v>
      </x:c>
      <x:c r="D21" s="107" t="n">
        <x:f>'Development NAV'!$B$41*C21</x:f>
        <x:v>7.082190026114224</x:v>
      </x:c>
      <x:c r="E21" s="107" t="n">
        <x:f>'PDP DCF'!$D$5</x:f>
        <x:v>2.9845116798178464</x:v>
      </x:c>
      <x:c r="F21" s="107" t="n">
        <x:f>'Inputs'!$B$25</x:f>
        <x:v>2.105836710707234</x:v>
      </x:c>
      <x:c r="G21" s="107" t="n">
        <x:f>SUM(D21:F21)</x:f>
        <x:v>12.172538416639304</x:v>
      </x:c>
    </x:row>
    <x:row r="22">
      <x:c r="A22" s="122" t="n">
        <x:v>411</x:v>
      </x:c>
      <x:c r="B22" s="111" t="n">
        <x:f>'Inputs'!$B$23/A22</x:f>
        <x:v>21.369829683698295</x:v>
      </x:c>
      <x:c r="C22" s="117" t="n">
        <x:f>(1/(1+'Inputs'!$B$17))*(1-(1/(1+'Inputs'!$B$17))^B22)/(B22*(1-1/(1+'Inputs'!$B$17)) )</x:f>
        <x:v>0.40690526177199093</x:v>
      </x:c>
      <x:c r="D22" s="107" t="n">
        <x:f>'Development NAV'!$B$41*C22</x:f>
        <x:v>8.988793880232555</x:v>
      </x:c>
      <x:c r="E22" s="107" t="n">
        <x:f>'PDP DCF'!$D$5</x:f>
        <x:v>2.9845116798178464</x:v>
      </x:c>
      <x:c r="F22" s="107" t="n">
        <x:f>'Inputs'!$B$25</x:f>
        <x:v>2.105836710707234</x:v>
      </x:c>
      <x:c r="G22" s="107" t="n">
        <x:f>SUM(D22:F22)</x:f>
        <x:v>14.079142270757634</x:v>
      </x:c>
    </x:row>
    <x:row r="23">
      <x:c r="A23" s="122" t="n">
        <x:v>500</x:v>
      </x:c>
      <x:c r="B23" s="111" t="n">
        <x:f>'Inputs'!$B$23/A23</x:f>
        <x:v>17.566</x:v>
      </x:c>
      <x:c r="C23" s="117" t="n">
        <x:f>(1/(1+'Inputs'!$B$17))*(1-(1/(1+'Inputs'!$B$17))^B23)/(B23*(1-1/(1+'Inputs'!$B$17)) )</x:f>
        <x:v>0.46256712066777195</x:v>
      </x:c>
      <x:c r="D23" s="107" t="n">
        <x:f>'Development NAV'!$B$41*C23</x:f>
        <x:v>10.218399450890242</x:v>
      </x:c>
      <x:c r="E23" s="107" t="n">
        <x:f>'PDP DCF'!$D$5</x:f>
        <x:v>2.9845116798178464</x:v>
      </x:c>
      <x:c r="F23" s="107" t="n">
        <x:f>'Inputs'!$B$25</x:f>
        <x:v>2.105836710707234</x:v>
      </x:c>
      <x:c r="G23" s="107" t="n">
        <x:f>SUM(D23:F23)</x:f>
        <x:v>15.308747841415322</x:v>
      </x:c>
    </x:row>
    <x:row r="24">
      <x:c r="A24" s="122" t="n">
        <x:v>600</x:v>
      </x:c>
      <x:c r="B24" s="111" t="n">
        <x:f>'Inputs'!$B$23/A24</x:f>
        <x:v>14.638333333333334</x:v>
      </x:c>
      <x:c r="C24" s="117" t="n">
        <x:f>(1/(1+'Inputs'!$B$17))*(1-(1/(1+'Inputs'!$B$17))^B24)/(B24*(1-1/(1+'Inputs'!$B$17)) )</x:f>
        <x:v>0.5138645863012136</x:v>
      </x:c>
      <x:c r="D24" s="107" t="n">
        <x:f>'Development NAV'!$B$41*C24</x:f>
        <x:v>11.35159282162551</x:v>
      </x:c>
      <x:c r="E24" s="107" t="n">
        <x:f>'PDP DCF'!$D$5</x:f>
        <x:v>2.9845116798178464</x:v>
      </x:c>
      <x:c r="F24" s="107" t="n">
        <x:f>'Inputs'!$B$25</x:f>
        <x:v>2.105836710707234</x:v>
      </x:c>
      <x:c r="G24" s="107" t="n">
        <x:f>SUM(D24:F24)</x:f>
        <x:v>16.441941212150592</x:v>
      </x:c>
    </x:row>
    <x:row r="25">
      <x:c r="A25" s="122" t="n">
        <x:v>800</x:v>
      </x:c>
      <x:c r="B25" s="111" t="n">
        <x:f>'Inputs'!$B$23/A25</x:f>
        <x:v>10.97875</x:v>
      </x:c>
      <x:c r="C25" s="117" t="n">
        <x:f>(1/(1+'Inputs'!$B$17))*(1-(1/(1+'Inputs'!$B$17))^B25)/(B25*(1-1/(1+'Inputs'!$B$17)) )</x:f>
        <x:v>0.590955720270001</x:v>
      </x:c>
      <x:c r="D25" s="107" t="n">
        <x:f>'Development NAV'!$B$41*C25</x:f>
        <x:v>13.05458459475014</x:v>
      </x:c>
      <x:c r="E25" s="107" t="n">
        <x:f>'PDP DCF'!$D$5</x:f>
        <x:v>2.9845116798178464</x:v>
      </x:c>
      <x:c r="F25" s="107" t="n">
        <x:f>'Inputs'!$B$25</x:f>
        <x:v>2.105836710707234</x:v>
      </x:c>
      <x:c r="G25" s="107" t="n">
        <x:f>SUM(D25:F25)</x:f>
        <x:v>18.144932985275222</x:v>
      </x:c>
    </x:row>
    <x:row r="26">
      <x:c r="A26" s="94"/>
      <x:c r="B26" s="94"/>
      <x:c r="C26" s="94"/>
      <x:c r="D26" s="94"/>
      <x:c r="E26" s="94"/>
      <x:c r="F26" s="94"/>
      <x:c r="G26" s="94"/>
    </x:row>
    <x:row r="27">
      <x:c r="A27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B27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C27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D27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E27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F27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G27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</x:row>
    <x:row r="28">
      <x:c r="A28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B28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C28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D28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E28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F28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G28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</x:row>
    <x:row r="29">
      <x:c r="A29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B29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C29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D29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E29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F29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  <x:c r="G29" s="33" t="str">
        <x:v>Interpretation: timing raises inventory value meaningfully, but it does not by itself reconcile $26.16. The residual must be earned through better unit economics, more net inventory, shallower/longer PDP cash flows, a credible capital-allocation value, or a combination.</x:v>
      </x:c>
    </x:row>
  </x:sheetData>
  <x:mergeCells>
    <x:mergeCell ref="A1:G1"/>
    <x:mergeCell ref="A2:G2"/>
    <x:mergeCell ref="A4:G4"/>
    <x:mergeCell ref="A10:G10"/>
    <x:mergeCell ref="A17:G17"/>
    <x:mergeCell ref="A27:G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24" hidden="0" customWidth="1"/>
    <x:col min="4" max="4" width="14" hidden="0" customWidth="1"/>
    <x:col min="5" max="5" width="17" hidden="0" customWidth="1"/>
    <x:col min="6" max="6" width="14" hidden="0" customWidth="1"/>
    <x:col min="7" max="7" width="17" hidden="0" customWidth="1"/>
    <x:col min="8" max="8" width="20" hidden="0" customWidth="1"/>
    <x:col min="9" max="9" width="42" hidden="0" customWidth="1"/>
    <x:col min="10" max="10" width="48" hidden="0" customWidth="1"/>
  </x:cols>
  <x:sheetData>
    <x:row r="1" ht="28" customHeight="1">
      <x:c r="A1" s="4" t="str">
        <x:v>Transaction and Public Royalty Peer Bridge</x:v>
      </x:c>
      <x:c r="B1" s="4" t="str">
        <x:v>Transaction and Public Royalty Peer Bridge</x:v>
      </x:c>
      <x:c r="C1" s="4" t="str">
        <x:v>Transaction and Public Royalty Peer Bridge</x:v>
      </x:c>
      <x:c r="D1" s="4" t="str">
        <x:v>Transaction and Public Royalty Peer Bridge</x:v>
      </x:c>
      <x:c r="E1" s="4" t="str">
        <x:v>Transaction and Public Royalty Peer Bridge</x:v>
      </x:c>
      <x:c r="F1" s="4" t="str">
        <x:v>Transaction and Public Royalty Peer Bridge</x:v>
      </x:c>
      <x:c r="G1" s="4" t="str">
        <x:v>Transaction and Public Royalty Peer Bridge</x:v>
      </x:c>
      <x:c r="H1" s="4" t="str">
        <x:v>Transaction and Public Royalty Peer Bridge</x:v>
      </x:c>
      <x:c r="I1" s="4" t="str">
        <x:v>Transaction and Public Royalty Peer Bridge</x:v>
      </x:c>
      <x:c r="J1" s="4" t="str">
        <x:v>Transaction and Public Royalty Peer Bridge</x:v>
      </x:c>
    </x:row>
    <x:row r="2">
      <x:c r="A2" s="40" t="str">
        <x:v>Use only normalized metrics. EV/PV-10, $/net royalty acre and $/flowing Mcfe cannot be averaged across differing commodity mixes, price decks, liabilities, royalty burdens and control terms.</x:v>
      </x:c>
      <x:c r="B2" s="40" t="str">
        <x:v>Use only normalized metrics. EV/PV-10, $/net royalty acre and $/flowing Mcfe cannot be averaged across differing commodity mixes, price decks, liabilities, royalty burdens and control terms.</x:v>
      </x:c>
      <x:c r="C2" s="40" t="str">
        <x:v>Use only normalized metrics. EV/PV-10, $/net royalty acre and $/flowing Mcfe cannot be averaged across differing commodity mixes, price decks, liabilities, royalty burdens and control terms.</x:v>
      </x:c>
      <x:c r="D2" s="40" t="str">
        <x:v>Use only normalized metrics. EV/PV-10, $/net royalty acre and $/flowing Mcfe cannot be averaged across differing commodity mixes, price decks, liabilities, royalty burdens and control terms.</x:v>
      </x:c>
      <x:c r="E2" s="40" t="str">
        <x:v>Use only normalized metrics. EV/PV-10, $/net royalty acre and $/flowing Mcfe cannot be averaged across differing commodity mixes, price decks, liabilities, royalty burdens and control terms.</x:v>
      </x:c>
      <x:c r="F2" s="40" t="str">
        <x:v>Use only normalized metrics. EV/PV-10, $/net royalty acre and $/flowing Mcfe cannot be averaged across differing commodity mixes, price decks, liabilities, royalty burdens and control terms.</x:v>
      </x:c>
      <x:c r="G2" s="40" t="str">
        <x:v>Use only normalized metrics. EV/PV-10, $/net royalty acre and $/flowing Mcfe cannot be averaged across differing commodity mixes, price decks, liabilities, royalty burdens and control terms.</x:v>
      </x:c>
      <x:c r="H2" s="40" t="str">
        <x:v>Use only normalized metrics. EV/PV-10, $/net royalty acre and $/flowing Mcfe cannot be averaged across differing commodity mixes, price decks, liabilities, royalty burdens and control terms.</x:v>
      </x:c>
      <x:c r="I2" s="40" t="str">
        <x:v>Use only normalized metrics. EV/PV-10, $/net royalty acre and $/flowing Mcfe cannot be averaged across differing commodity mixes, price decks, liabilities, royalty burdens and control terms.</x:v>
      </x:c>
      <x:c r="J2" s="40" t="str">
        <x:v>Use only normalized metrics. EV/PV-10, $/net royalty acre and $/flowing Mcfe cannot be averaged across differing commodity mixes, price decks, liabilities, royalty burdens and control terms.</x:v>
      </x:c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</x:row>
    <x:row r="4">
      <x:c r="A4" s="17" t="str">
        <x:v>Reference</x:v>
      </x:c>
      <x:c r="B4" s="17" t="str">
        <x:v>Value / EV ($m)</x:v>
      </x:c>
      <x:c r="C4" s="17" t="str">
        <x:v>PV-10 or standardized PV ($m)</x:v>
      </x:c>
      <x:c r="D4" s="17" t="str">
        <x:v>EV / PV</x:v>
      </x:c>
      <x:c r="E4" s="17" t="str">
        <x:v>Net royalty acres</x:v>
      </x:c>
      <x:c r="F4" s="17" t="str">
        <x:v>$ / NRA</x:v>
      </x:c>
      <x:c r="G4" s="17" t="str">
        <x:v>Flowing MMcfe/d</x:v>
      </x:c>
      <x:c r="H4" s="17" t="str">
        <x:v>$ / flowing Mcfe/d</x:v>
      </x:c>
      <x:c r="I4" s="17" t="str">
        <x:v>Use status</x:v>
      </x:c>
      <x:c r="J4" s="17" t="str">
        <x:v>Source</x:v>
      </x:c>
    </x:row>
    <x:row r="5">
      <x:c r="A5" s="95" t="str">
        <x:v>PHX acquisition (Jun-2025)</x:v>
      </x:c>
      <x:c r="B5" s="123" t="n">
        <x:v>187</x:v>
      </x:c>
      <x:c r="C5" s="123" t="n">
        <x:v>79.642</x:v>
      </x:c>
      <x:c r="D5" s="124" t="n">
        <x:f>IFERROR(B5/C5,"")</x:f>
        <x:v>2.3480073328143445</x:v>
      </x:c>
      <x:c r="E5" s="120"/>
      <x:c r="F5" s="125" t="str">
        <x:f>IFERROR(B5*1000000/E5,"")</x:f>
      </x:c>
      <x:c r="G5" s="125"/>
      <x:c r="H5" s="125" t="str">
        <x:f>IFERROR(B5*1000000/(G5*1000),"")</x:f>
      </x:c>
      <x:c r="I5" s="95" t="str">
        <x:v>Transaction; normalize price deck</x:v>
      </x:c>
      <x:c r="J5" s="95" t="str">
        <x:v>https://phxmin.com/news/whitehawk-acquire-phx-minerals-inc-435-share</x:v>
      </x:c>
    </x:row>
    <x:row r="6">
      <x:c r="A6" s="95" t="str">
        <x:v>TRR remaining 50% (Mar-2025)</x:v>
      </x:c>
      <x:c r="B6" s="123" t="n">
        <x:v>236</x:v>
      </x:c>
      <x:c r="C6" s="123" t="n">
        <x:v>45.088</x:v>
      </x:c>
      <x:c r="D6" s="124" t="n">
        <x:f>IFERROR(B6/C6,"")</x:f>
        <x:v>5.234208658623137</x:v>
      </x:c>
      <x:c r="E6" s="120"/>
      <x:c r="F6" s="125" t="str">
        <x:f>IFERROR(B6*1000000/E6,"")</x:f>
      </x:c>
      <x:c r="G6" s="125"/>
      <x:c r="H6" s="125" t="str">
        <x:f>IFERROR(B6*1000000/(G6*1000),"")</x:f>
      </x:c>
      <x:c r="I6" s="95" t="str">
        <x:v>Conditional: value assumes disclosed PV covers full seller asset</x:v>
      </x:c>
      <x:c r="J6" s="95" t="str">
        <x:v>WHK 424B4 transaction disclosure</x:v>
      </x:c>
    </x:row>
    <x:row r="7">
      <x:c r="A7" s="95" t="str">
        <x:v>WHK whole claim at $26.16</x:v>
      </x:c>
      <x:c r="B7" s="123" t="n">
        <x:v>795</x:v>
      </x:c>
      <x:c r="C7" s="123" t="n">
        <x:v>293.69</x:v>
      </x:c>
      <x:c r="D7" s="124" t="n">
        <x:f>IFERROR(B7/C7,"")</x:f>
        <x:v>2.706935884776465</x:v>
      </x:c>
      <x:c r="E7" s="120"/>
      <x:c r="F7" s="125" t="str">
        <x:f>IFERROR(B7*1000000/E7,"")</x:f>
      </x:c>
      <x:c r="G7" s="125" t="n">
        <x:v>64.27</x:v>
      </x:c>
      <x:c r="H7" s="125" t="n">
        <x:f>IFERROR(B7*1000000/(G7*1000),"")</x:f>
        <x:v>12369.690368756808</x:v>
      </x:c>
      <x:c r="I7" s="95" t="str">
        <x:v>Reference only; claim structure differs</x:v>
      </x:c>
      <x:c r="J7" s="95" t="str">
        <x:v>WHK 424B4 + existing contract</x:v>
      </x:c>
    </x:row>
    <x:row r="8">
      <x:c r="A8" s="95" t="str">
        <x:v>Kimbell public reference</x:v>
      </x:c>
      <x:c r="B8" s="123" t="n">
        <x:v>2363.3</x:v>
      </x:c>
      <x:c r="C8" s="123" t="n">
        <x:v>969.93</x:v>
      </x:c>
      <x:c r="D8" s="124" t="n">
        <x:f>IFERROR(B8/C8,"")</x:f>
        <x:v>2.436567587351665</x:v>
      </x:c>
      <x:c r="E8" s="120"/>
      <x:c r="F8" s="125" t="str">
        <x:f>IFERROR(B8*1000000/E8,"")</x:f>
      </x:c>
      <x:c r="G8" s="125" t="n">
        <x:v>154.6</x:v>
      </x:c>
      <x:c r="H8" s="125" t="n">
        <x:f>IFERROR(B8*1000000/(G8*1000),"")</x:f>
        <x:v>15286.545924967659</x:v>
      </x:c>
      <x:c r="I8" s="95" t="str">
        <x:v>Diversified / liquids-heavy; not a gas-basin comp</x:v>
      </x:c>
      <x:c r="J8" s="95" t="str">
        <x:v>https://www.sec.gov/Archives/edgar/data/1657788/000110465926020477/krp-20251231x10k.htm</x:v>
      </x:c>
    </x:row>
    <x:row r="9">
      <x:c r="A9" s="95" t="str">
        <x:v>Black Stone Haynesville purchase</x:v>
      </x:c>
      <x:c r="B9" s="123" t="n">
        <x:v>2.5</x:v>
      </x:c>
      <x:c r="C9" s="123"/>
      <x:c r="D9" s="124" t="str">
        <x:f>IFERROR(B9/C9,"")</x:f>
      </x:c>
      <x:c r="E9" s="120" t="n">
        <x:v>363</x:v>
      </x:c>
      <x:c r="F9" s="125" t="n">
        <x:f>IFERROR(B9*1000000/E9,"")</x:f>
        <x:v>6887.052341597796</x:v>
      </x:c>
      <x:c r="G9" s="125"/>
      <x:c r="H9" s="125" t="str">
        <x:f>IFERROR(B9*1000000/(G9*1000),"")</x:f>
      </x:c>
      <x:c r="I9" s="95" t="str">
        <x:v>Acre datapoint only; no volume/NRI/inventory normalization</x:v>
      </x:c>
      <x:c r="J9" s="95" t="str">
        <x:v>https://www.sec.gov/Archives/edgar/data/315131/000095017025037978/R63.htm</x:v>
      </x:c>
    </x:row>
    <x:row r="10">
      <x:c r="A10" s="94"/>
      <x:c r="B10" s="94"/>
      <x:c r="C10" s="94"/>
      <x:c r="D10" s="94"/>
      <x:c r="E10" s="94"/>
      <x:c r="F10" s="94"/>
      <x:c r="G10" s="94"/>
      <x:c r="H10" s="94"/>
      <x:c r="I10" s="94"/>
      <x:c r="J10" s="94"/>
    </x:row>
    <x:row r="11">
      <x:c r="A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B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C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D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E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F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G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H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I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J11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</x:row>
    <x:row r="12">
      <x:c r="A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B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C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D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E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F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G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H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I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J12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</x:row>
    <x:row r="13">
      <x:c r="A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B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C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D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E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F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G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H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I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  <x:c r="J13" s="50" t="str">
        <x:v>Peer conclusion: transactions confirm buyers can pay above PV-10, but neither the PHX nor TRR headline is a transferable WHK multiple. The Kimbell cross-check is capital-structure-aware, but its liquids weighting makes it a sanity check only. The model leaves net-royalty-acre comparison blank except for the Black Stone transaction because WHK’s disclosed locations are not NRAs.</x:v>
      </x:c>
    </x:row>
  </x:sheetData>
  <x:mergeCells>
    <x:mergeCell ref="A1:J1"/>
    <x:mergeCell ref="A2:J2"/>
    <x:mergeCell ref="A11:J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16" hidden="0" customWidth="1"/>
    <x:col min="5" max="5" width="18" hidden="0" customWidth="1"/>
    <x:col min="6" max="6" width="46" hidden="0" customWidth="1"/>
  </x:cols>
  <x:sheetData>
    <x:row r="1" ht="28" customHeight="1">
      <x:c r="A1" s="4" t="str">
        <x:v>Model Checks and Evidence Gates</x:v>
      </x:c>
      <x:c r="B1" s="4" t="str">
        <x:v>Model Checks and Evidence Gates</x:v>
      </x:c>
      <x:c r="C1" s="4" t="str">
        <x:v>Model Checks and Evidence Gates</x:v>
      </x:c>
      <x:c r="D1" s="4" t="str">
        <x:v>Model Checks and Evidence Gates</x:v>
      </x:c>
      <x:c r="E1" s="4" t="str">
        <x:v>Model Checks and Evidence Gates</x:v>
      </x:c>
      <x:c r="F1" s="4" t="str">
        <x:v>Model Checks and Evidence Gates</x:v>
      </x:c>
    </x:row>
    <x:row r="2">
      <x:c r="A2" s="94"/>
      <x:c r="B2" s="94"/>
      <x:c r="C2" s="94"/>
      <x:c r="D2" s="94"/>
      <x:c r="E2" s="94"/>
      <x:c r="F2" s="94"/>
    </x:row>
    <x:row r="3">
      <x:c r="A3" s="17" t="str">
        <x:v>Check</x:v>
      </x:c>
      <x:c r="B3" s="17" t="str">
        <x:v>Actual</x:v>
      </x:c>
      <x:c r="C3" s="17" t="str">
        <x:v>Expected</x:v>
      </x:c>
      <x:c r="D3" s="17" t="str">
        <x:v>Difference</x:v>
      </x:c>
      <x:c r="E3" s="17" t="str">
        <x:v>Status</x:v>
      </x:c>
      <x:c r="F3" s="17" t="str">
        <x:v>Notes</x:v>
      </x:c>
    </x:row>
    <x:row r="4">
      <x:c r="A4" s="95" t="str">
        <x:v>Gross locations tie</x:v>
      </x:c>
      <x:c r="B4" s="108" t="n">
        <x:f>'Development NAV'!B10</x:f>
        <x:v>8783</x:v>
      </x:c>
      <x:c r="C4" s="108" t="n">
        <x:f>'Inputs'!B23</x:f>
        <x:v>8783</x:v>
      </x:c>
      <x:c r="D4" s="108" t="n">
        <x:f>B4-C4</x:f>
        <x:v>0</x:v>
      </x:c>
      <x:c r="E4" s="126" t="str">
        <x:f>IF(ABS(D4)&lt;0.1,"OK","CHECK")</x:f>
        <x:v>OK</x:v>
      </x:c>
      <x:c r="F4" s="95" t="str">
        <x:v>Basin locations must tie to filing total</x:v>
      </x:c>
    </x:row>
    <x:row r="5">
      <x:c r="A5" s="95" t="str">
        <x:v>Operator proxy locations tie</x:v>
      </x:c>
      <x:c r="B5" s="108" t="n">
        <x:f>SUM('Development NAV'!D48:D61)</x:f>
        <x:v>8783</x:v>
      </x:c>
      <x:c r="C5" s="108" t="n">
        <x:f>'Inputs'!B23</x:f>
        <x:v>8783</x:v>
      </x:c>
      <x:c r="D5" s="108" t="n">
        <x:f>B5-C5</x:f>
        <x:v>0</x:v>
      </x:c>
      <x:c r="E5" s="126" t="str">
        <x:f>IF(ABS(D5)&lt;0.1,"OK","CHECK")</x:f>
        <x:v>OK</x:v>
      </x:c>
      <x:c r="F5" s="95" t="str">
        <x:v>Proxy only; should tie to gross location total</x:v>
      </x:c>
    </x:row>
    <x:row r="6">
      <x:c r="A6" s="95" t="str">
        <x:v>Operator proxy pace tie</x:v>
      </x:c>
      <x:c r="B6" s="108" t="n">
        <x:f>SUM('Development NAV'!E48:E61)</x:f>
        <x:v>411</x:v>
      </x:c>
      <x:c r="C6" s="108" t="n">
        <x:f>'Inputs'!B22</x:f>
        <x:v>411</x:v>
      </x:c>
      <x:c r="D6" s="108" t="n">
        <x:f>B6-C6</x:f>
        <x:v>0</x:v>
      </x:c>
      <x:c r="E6" s="126" t="str">
        <x:f>IF(ABS(D6)&lt;0.1,"OK","CHECK")</x:f>
        <x:v>OK</x:v>
      </x:c>
      <x:c r="F6" s="95" t="str">
        <x:v>Proxy should tie to observed 411 gross TILs</x:v>
      </x:c>
    </x:row>
    <x:row r="7">
      <x:c r="A7" s="95" t="str">
        <x:v>Net inventory volume tie</x:v>
      </x:c>
      <x:c r="B7" s="108" t="n">
        <x:f>'Development NAV'!F10</x:f>
        <x:v>479.47134000000005</x:v>
      </x:c>
      <x:c r="C7" s="108" t="n">
        <x:f>479.471</x:f>
        <x:v>479.471</x:v>
      </x:c>
      <x:c r="D7" s="108" t="n">
        <x:f>B7-C7</x:f>
        <x:v>0.0003400000000510772</x:v>
      </x:c>
      <x:c r="E7" s="126" t="str">
        <x:f>IF(ABS(D7)&lt;0.1,"OK","CHECK")</x:f>
        <x:v>OK</x:v>
      </x:c>
      <x:c r="F7" s="95" t="str">
        <x:v>Basin EUR build must tie to 479.5 Bcfe base</x:v>
      </x:c>
    </x:row>
    <x:row r="8">
      <x:c r="A8" s="95" t="str">
        <x:v>Development NAV tie</x:v>
      </x:c>
      <x:c r="B8" s="108" t="n">
        <x:f>SUM('Development NAV'!G14:G38)</x:f>
        <x:v>206.67894622751578</x:v>
      </x:c>
      <x:c r="C8" s="108" t="n">
        <x:f>'Development NAV'!B43</x:f>
        <x:v>206.67894622751578</x:v>
      </x:c>
      <x:c r="D8" s="108" t="n">
        <x:f>B8-C8</x:f>
        <x:v>0</x:v>
      </x:c>
      <x:c r="E8" s="126" t="str">
        <x:f>IF(ABS(D8)&lt;0.01,"OK","CHECK")</x:f>
        <x:v>OK</x:v>
      </x:c>
      <x:c r="F8" s="95" t="str">
        <x:v>Schedule PV must tie to output</x:v>
      </x:c>
    </x:row>
    <x:row r="9">
      <x:c r="A9" s="95" t="str">
        <x:v>Recurring CAFD tie</x:v>
      </x:c>
      <x:c r="B9" s="108" t="n">
        <x:f>'Inputs'!B29</x:f>
        <x:v>22.717</x:v>
      </x:c>
      <x:c r="C9" s="108" t="n">
        <x:f>22.717</x:f>
        <x:v>22.717</x:v>
      </x:c>
      <x:c r="D9" s="108" t="n">
        <x:f>B9-C9</x:f>
        <x:v>0</x:v>
      </x:c>
      <x:c r="E9" s="126" t="str">
        <x:f>IF(ABS(D9)&lt;0.001,"OK","CHECK")</x:f>
        <x:v>OK</x:v>
      </x:c>
      <x:c r="F9" s="95" t="str">
        <x:v>Reported CAFD less Liquidity Incentive Fee</x:v>
      </x:c>
    </x:row>
    <x:row r="10">
      <x:c r="A10" s="95" t="str">
        <x:v>Evidence gate</x:v>
      </x:c>
      <x:c r="B10" s="95" t="str">
        <x:v>Conditional</x:v>
      </x:c>
      <x:c r="C10" s="95" t="str">
        <x:v>Tract/permit and well-level timing needed</x:v>
      </x:c>
      <x:c r="D10" s="95" t="str">
        <x:v>n/a</x:v>
      </x:c>
      <x:c r="E10" s="127" t="str">
        <x:v>OPEN</x:v>
      </x:c>
      <x:c r="F10" s="95" t="str">
        <x:v>Tract/permit intersection remains unavailable; output is conditional</x:v>
      </x:c>
    </x:row>
    <x:row r="11">
      <x:c r="A11" s="163" t="str">
        <x:v>Capital-allocation option link</x:v>
      </x:c>
      <x:c r="B11" s="165" t="n">
        <x:f>'Capital Allocation'!B46</x:f>
        <x:v>2.105836710707234</x:v>
      </x:c>
      <x:c r="C11" s="165" t="n">
        <x:f>'Inputs'!B25</x:f>
        <x:v>2.105836710707234</x:v>
      </x:c>
      <x:c r="D11" s="165" t="n">
        <x:f>B11-C11</x:f>
        <x:v>0</x:v>
      </x:c>
      <x:c r="E11" s="168" t="str">
        <x:f>IF(ABS(D11)&lt;0.001,"OK","CHECK")</x:f>
        <x:v>OK</x:v>
      </x:c>
      <x:c r="F11" s="163" t="str">
        <x:v>Inputs must link exactly to the separate finite franchise-NPV schedule</x:v>
      </x:c>
    </x:row>
    <x:row r="12">
      <x:c r="A12" s="11" t="str">
        <x:v>Model status</x:v>
      </x:c>
      <x:c r="B12" s="11" t="str">
        <x:v>Model status</x:v>
      </x:c>
      <x:c r="C12" s="11" t="str">
        <x:v>Model status</x:v>
      </x:c>
      <x:c r="D12" s="11" t="str">
        <x:v>Model status</x:v>
      </x:c>
      <x:c r="E12" s="11" t="str">
        <x:v>Model status</x:v>
      </x:c>
      <x:c r="F12" s="11" t="str">
        <x:v>Model status</x:v>
      </x:c>
    </x:row>
    <x:row r="13">
      <x:c r="A13" s="85" t="str">
        <x:f>IF(COUNTIF(E4:E9,"&lt;&gt;OK")+COUNTIF(E11,"&lt;&gt;OK")=0,"CALCULATIONS TIE - EVIDENCE STATUS REMAINS CONDITIONAL","REVIEW CALCULATION CHECKS")</x:f>
        <x:v>CALCULATIONS TIE - EVIDENCE STATUS REMAINS CONDITIONAL</x:v>
      </x:c>
      <x:c r="B13" s="85"/>
      <x:c r="C13" s="85"/>
      <x:c r="D13" s="85"/>
      <x:c r="E13" s="85"/>
      <x:c r="F13" s="85"/>
    </x:row>
    <x:row r="14">
      <x:c r="A14" s="85"/>
      <x:c r="B14" s="85"/>
      <x:c r="C14" s="85"/>
      <x:c r="D14" s="85"/>
      <x:c r="E14" s="85"/>
      <x:c r="F14" s="85"/>
    </x:row>
  </x:sheetData>
  <x:mergeCells>
    <x:mergeCell ref="A1:F1"/>
    <x:mergeCell ref="A12:F12"/>
    <x:mergeCell ref="A13:F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78" hidden="0" customWidth="1"/>
    <x:col min="5" max="5" width="28" hidden="0" customWidth="1"/>
    <x:col min="6" max="6" width="58" hidden="0" customWidth="1"/>
  </x:cols>
  <x:sheetData>
    <x:row r="1" ht="28" customHeight="1">
      <x:c r="A1" s="4" t="str">
        <x:v>Sources and Audit Trail</x:v>
      </x:c>
      <x:c r="B1" s="4" t="str">
        <x:v>Sources and Audit Trail</x:v>
      </x:c>
      <x:c r="C1" s="4" t="str">
        <x:v>Sources and Audit Trail</x:v>
      </x:c>
      <x:c r="D1" s="4" t="str">
        <x:v>Sources and Audit Trail</x:v>
      </x:c>
      <x:c r="E1" s="4" t="str">
        <x:v>Sources and Audit Trail</x:v>
      </x:c>
      <x:c r="F1" s="4" t="str">
        <x:v>Sources and Audit Trail</x:v>
      </x:c>
    </x:row>
    <x:row r="2">
      <x:c r="A2" s="94"/>
      <x:c r="B2" s="94"/>
      <x:c r="C2" s="94"/>
      <x:c r="D2" s="94"/>
      <x:c r="E2" s="94"/>
      <x:c r="F2" s="94"/>
    </x:row>
    <x:row r="3">
      <x:c r="A3" s="17" t="str">
        <x:v>Source ID</x:v>
      </x:c>
      <x:c r="B3" s="17" t="str">
        <x:v>Item</x:v>
      </x:c>
      <x:c r="C3" s="17" t="str">
        <x:v>As of</x:v>
      </x:c>
      <x:c r="D3" s="17" t="str">
        <x:v>Source / path</x:v>
      </x:c>
      <x:c r="E3" s="17" t="str">
        <x:v>Use in model</x:v>
      </x:c>
      <x:c r="F3" s="17" t="str">
        <x:v>Audit note</x:v>
      </x:c>
    </x:row>
    <x:row r="4">
      <x:c r="A4" s="95" t="str">
        <x:v>F1</x:v>
      </x:c>
      <x:c r="B4" s="95" t="str">
        <x:v>Class A shares and OpCo ownership structure</x:v>
      </x:c>
      <x:c r="C4" s="95" t="str">
        <x:v>2026-06-09</x:v>
      </x:c>
      <x:c r="D4" s="128" t="str">
        <x:v>WHK/investor-documents/sec-edgar/424B4_20260609_rpt_acc0001193125_26_264014.htm</x:v>
      </x:c>
      <x:c r="E4" s="95" t="str">
        <x:v>Inputs B7</x:v>
      </x:c>
      <x:c r="F4" s="95" t="str">
        <x:v>22,996,579 Class A / Company-held OpCo interests</x:v>
      </x:c>
    </x:row>
    <x:row r="5">
      <x:c r="A5" s="95" t="str">
        <x:v>F2</x:v>
      </x:c>
      <x:c r="B5" s="95" t="str">
        <x:v>Pro forma FY2025 CAFD</x:v>
      </x:c>
      <x:c r="C5" s="95" t="str">
        <x:v>2025-12-31</x:v>
      </x:c>
      <x:c r="D5" s="128" t="str">
        <x:v>WHK/investor-documents/sec-edgar/424B4_20260609_rpt_acc0001193125_26_264014.htm</x:v>
      </x:c>
      <x:c r="E5" s="95" t="str">
        <x:v>Inputs B10; CAFD bridge</x:v>
      </x:c>
      <x:c r="F5" s="95" t="str">
        <x:v>Management non-GAAP reconciliation: $36.317m</x:v>
      </x:c>
    </x:row>
    <x:row r="6">
      <x:c r="A6" s="95" t="str">
        <x:v>F3</x:v>
      </x:c>
      <x:c r="B6" s="95" t="str">
        <x:v>Liquidity Incentive Fee and internalization adjustment</x:v>
      </x:c>
      <x:c r="C6" s="95" t="str">
        <x:v>2025-12-31</x:v>
      </x:c>
      <x:c r="D6" s="128" t="str">
        <x:v>WHK/investor-documents/sec-edgar/424B4_20260609_rpt_acc0001193125_26_264014.htm</x:v>
      </x:c>
      <x:c r="E6" s="95" t="str">
        <x:v>Inputs B11; CAFD bridge</x:v>
      </x:c>
      <x:c r="F6" s="95" t="str">
        <x:v>$13.6m LIF treated as one-time; $8.2m ongoing net internalization benefit is context</x:v>
      </x:c>
    </x:row>
    <x:row r="7">
      <x:c r="A7" s="95" t="str">
        <x:v>F4</x:v>
      </x:c>
      <x:c r="B7" s="95" t="str">
        <x:v>FY2025 transaction-cost add-back</x:v>
      </x:c>
      <x:c r="C7" s="95" t="str">
        <x:v>2025-12-31</x:v>
      </x:c>
      <x:c r="D7" s="128" t="str">
        <x:v>WHK/investor-documents/sec-edgar/424B4_20260609_rpt_acc0001193125_26_264014.htm</x:v>
      </x:c>
      <x:c r="E7" s="95" t="str">
        <x:v>Inputs B12</x:v>
      </x:c>
      <x:c r="F7" s="95" t="str">
        <x:v>Open steady-state classification</x:v>
      </x:c>
    </x:row>
    <x:row r="8">
      <x:c r="A8" s="95" t="str">
        <x:v>F5</x:v>
      </x:c>
      <x:c r="B8" s="95" t="str">
        <x:v>Pro forma Q1 2026 CAFD</x:v>
      </x:c>
      <x:c r="C8" s="95" t="str">
        <x:v>2026-03-31</x:v>
      </x:c>
      <x:c r="D8" s="128" t="str">
        <x:v>WHK/investor-documents/sec-edgar/424B4_20260609_rpt_acc0001193125_26_264014.htm</x:v>
      </x:c>
      <x:c r="E8" s="95" t="str">
        <x:v>Inputs B13</x:v>
      </x:c>
      <x:c r="F8" s="95" t="str">
        <x:v>Used only in legacy midpoint comparator</x:v>
      </x:c>
    </x:row>
    <x:row r="9">
      <x:c r="A9" s="95" t="str">
        <x:v>F6</x:v>
      </x:c>
      <x:c r="B9" s="95" t="str">
        <x:v>PDP reserve volume</x:v>
      </x:c>
      <x:c r="C9" s="95" t="str">
        <x:v>2025-12-31</x:v>
      </x:c>
      <x:c r="D9" s="128" t="str">
        <x:v>WHK/investor-documents/sec-edgar/424B4_20260609_rpt_acc0001193125_26_264014.htm</x:v>
      </x:c>
      <x:c r="E9" s="95" t="str">
        <x:v>Inputs B14; PDP DCF</x:v>
      </x:c>
      <x:c r="F9" s="95" t="str">
        <x:v>178,544 MMcfe</x:v>
      </x:c>
    </x:row>
    <x:row r="10">
      <x:c r="A10" s="95" t="str">
        <x:v>F7</x:v>
      </x:c>
      <x:c r="B10" s="95" t="str">
        <x:v>Q1 production</x:v>
      </x:c>
      <x:c r="C10" s="95" t="str">
        <x:v>2026-03-31</x:v>
      </x:c>
      <x:c r="D10" s="128" t="str">
        <x:v>WHK/investor-documents/sec-edgar/424B4_20260609_rpt_acc0001193125_26_264014.htm</x:v>
      </x:c>
      <x:c r="E10" s="95" t="str">
        <x:v>Inputs B15</x:v>
      </x:c>
      <x:c r="F10" s="95" t="str">
        <x:v>64,270 Mcfe/d annualized</x:v>
      </x:c>
    </x:row>
    <x:row r="11">
      <x:c r="A11" s="95" t="str">
        <x:v>F8</x:v>
      </x:c>
      <x:c r="B11" s="95" t="str">
        <x:v>Total proved reserves</x:v>
      </x:c>
      <x:c r="C11" s="95" t="str">
        <x:v>2025-12-31</x:v>
      </x:c>
      <x:c r="D11" s="128" t="str">
        <x:v>WHK/investor-documents/sec-edgar/424B4_20260609_rpt_acc0001193125_26_264014.htm</x:v>
      </x:c>
      <x:c r="E11" s="95" t="str">
        <x:v>Inputs B18</x:v>
      </x:c>
      <x:c r="F11" s="95" t="str">
        <x:v>206,473 MMcfe</x:v>
      </x:c>
    </x:row>
    <x:row r="12">
      <x:c r="A12" s="95" t="str">
        <x:v>F9</x:v>
      </x:c>
      <x:c r="B12" s="95" t="str">
        <x:v>PV-10</x:v>
      </x:c>
      <x:c r="C12" s="95" t="str">
        <x:v>2025-12-31</x:v>
      </x:c>
      <x:c r="D12" s="128" t="str">
        <x:v>WHK/investor-documents/sec-edgar/424B4_20260609_rpt_acc0001193125_26_264014.htm</x:v>
      </x:c>
      <x:c r="E12" s="95" t="str">
        <x:v>Inputs B19</x:v>
      </x:c>
      <x:c r="F12" s="95" t="str">
        <x:v>PV-10 $293.690m at $3.387/MMBtu Henry Hub</x:v>
      </x:c>
    </x:row>
    <x:row r="13">
      <x:c r="A13" s="95" t="str">
        <x:v>F10</x:v>
      </x:c>
      <x:c r="B13" s="95" t="str">
        <x:v>Standardized measure</x:v>
      </x:c>
      <x:c r="C13" s="95" t="str">
        <x:v>2025-12-31</x:v>
      </x:c>
      <x:c r="D13" s="128" t="str">
        <x:v>WHK/investor-documents/sec-edgar/424B4_20260609_rpt_acc0001193125_26_264014.htm</x:v>
      </x:c>
      <x:c r="E13" s="95" t="str">
        <x:v>Inputs B20</x:v>
      </x:c>
      <x:c r="F13" s="95" t="str">
        <x:v>Standardized measure $266.326m</x:v>
      </x:c>
    </x:row>
    <x:row r="14">
      <x:c r="A14" s="95" t="str">
        <x:v>F12</x:v>
      </x:c>
      <x:c r="B14" s="95" t="str">
        <x:v>Gross locations and 2025 TIL count</x:v>
      </x:c>
      <x:c r="C14" s="95" t="str">
        <x:v>2025-12-31</x:v>
      </x:c>
      <x:c r="D14" s="128" t="str">
        <x:v>WHK/investor-documents/sec-edgar/424B4_20260609_rpt_acc0001193125_26_264014.htm</x:v>
      </x:c>
      <x:c r="E14" s="95" t="str">
        <x:v>Inputs B22:B23; Development NAV</x:v>
      </x:c>
      <x:c r="F14" s="95" t="str">
        <x:v>8,783 gross locations; 411 gross TILs in 2025</x:v>
      </x:c>
    </x:row>
    <x:row r="15">
      <x:c r="A15" s="95" t="str">
        <x:v>J4</x:v>
      </x:c>
      <x:c r="B15" s="95" t="str">
        <x:v>Operator allocation proxy</x:v>
      </x:c>
      <x:c r="C15" s="95" t="str">
        <x:v>2026-08-12</x:v>
      </x:c>
      <x:c r="D15" s="128" t="str">
        <x:v>WHK/research/operator_development_proxy_2026-08-12.csv</x:v>
      </x:c>
      <x:c r="E15" s="95" t="str">
        <x:v>Development NAV operator table</x:v>
      </x:c>
      <x:c r="F15" s="95" t="str">
        <x:v>Production-mix proxy, not acres or permits</x:v>
      </x:c>
    </x:row>
    <x:row r="16">
      <x:c r="A16" s="95" t="str">
        <x:v>T1</x:v>
      </x:c>
      <x:c r="B16" s="95" t="str">
        <x:v>PHX acquisition</x:v>
      </x:c>
      <x:c r="C16" s="95" t="str">
        <x:v>2025-06-23</x:v>
      </x:c>
      <x:c r="D16" s="128" t="str">
        <x:v>https://phxmin.com/news/whitehawk-acquire-phx-minerals-inc-435-share</x:v>
      </x:c>
      <x:c r="E16" s="95" t="str">
        <x:v>Transactions &amp; Peers</x:v>
      </x:c>
      <x:c r="F16" s="95" t="str">
        <x:v>~$187m enterprise value; price deck must be normalized</x:v>
      </x:c>
    </x:row>
    <x:row r="17">
      <x:c r="A17" s="95" t="str">
        <x:v>P1</x:v>
      </x:c>
      <x:c r="B17" s="95" t="str">
        <x:v>Kimbell 2025 10-K</x:v>
      </x:c>
      <x:c r="C17" s="95" t="str">
        <x:v>2025-12-31</x:v>
      </x:c>
      <x:c r="D17" s="128" t="str">
        <x:v>https://www.sec.gov/Archives/edgar/data/1657788/000110465926020477/krp-20251231x10k.htm</x:v>
      </x:c>
      <x:c r="E17" s="95" t="str">
        <x:v>Transactions &amp; Peers</x:v>
      </x:c>
      <x:c r="F17" s="95" t="str">
        <x:v>$969.9m standardized measure before taxes; use only as diversified peer</x:v>
      </x:c>
    </x:row>
    <x:row r="18">
      <x:c r="A18" s="94"/>
      <x:c r="B18" s="94"/>
      <x:c r="C18" s="94"/>
      <x:c r="D18" s="94"/>
      <x:c r="E18" s="94"/>
      <x:c r="F18" s="94"/>
    </x:row>
    <x:row r="19">
      <x:c r="A19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B19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C19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D19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E19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F19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</x:row>
    <x:row r="20">
      <x:c r="A20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B20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C20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D20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E20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F20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</x:row>
    <x:row r="21">
      <x:c r="A21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B21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C21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D21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E21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  <x:c r="F21" s="72" t="str">
        <x:v>Audit rule: every filing fact is locked, every judgment is separately labelled, and no operator/acreage assumption may be upgraded from “proxy” to “fact” without tract or permit-level evidence. The model does not alter the official valuation contract.</x:v>
      </x:c>
    </x:row>
    <x:row r="23">
      <x:c r="A23" s="147" t="str">
        <x:v>Source ID</x:v>
      </x:c>
      <x:c r="B23" s="147" t="str">
        <x:v>Item</x:v>
      </x:c>
      <x:c r="C23" s="147" t="str">
        <x:v>As of</x:v>
      </x:c>
      <x:c r="D23" s="147" t="str">
        <x:v>Source / path</x:v>
      </x:c>
      <x:c r="E23" s="147" t="str">
        <x:v>Use in model</x:v>
      </x:c>
      <x:c r="F23" s="147" t="str">
        <x:v>Audit note</x:v>
      </x:c>
    </x:row>
    <x:row r="24">
      <x:c r="A24" s="148" t="str">
        <x:v>CA1</x:v>
      </x:c>
      <x:c r="B24" s="148" t="str">
        <x:v>WhiteHawk execution and reinvestment policy</x:v>
      </x:c>
      <x:c r="C24" s="148" t="str">
        <x:v>2026-06-09</x:v>
      </x:c>
      <x:c r="D24" s="86" t="str">
        <x:v>WHK/investor-documents/sec-edgar/424B4_20260609_rpt_acc0001193125_26_264014.htm</x:v>
      </x:c>
      <x:c r="E24" s="148" t="str">
        <x:v>Capital Allocation</x:v>
      </x:c>
      <x:c r="F24" s="148" t="str">
        <x:v>Eight acquisitions since 2022; 49 monthly dividends / 38% cash-on-cash through March 2026; remaining CAFD intended for acquisitions or conservative capital structure. Not deal-level IRR.</x:v>
      </x:c>
    </x:row>
    <x:row r="25">
      <x:c r="A25" s="148" t="str">
        <x:v>CA2</x:v>
      </x:c>
      <x:c r="B25" s="148" t="str">
        <x:v>Black Stone acquisition program</x:v>
      </x:c>
      <x:c r="C25" s="148" t="str">
        <x:v>2025-12-31</x:v>
      </x:c>
      <x:c r="D25" s="86" t="str">
        <x:v>https://investor.blackstoneminerals.com/news-events/press-releases/news-details/2026/Black-Stone-Minerals-L-P--Announces-Fourth-Quarter-and-Full-Year-2025-Results-Provides-Guidance-for-2026/default.aspx</x:v>
      </x:c>
      <x:c r="E25" s="148" t="str">
        <x:v>Capital Allocation peer context</x:v>
      </x:c>
      <x:c r="F25" s="148" t="str">
        <x:v>$239.5m mineral/royalty acquisitions from Sep-2023 through Dec-2025; validates addressable acquisition activity, not WHK return assumption.</x:v>
      </x:c>
    </x:row>
    <x:row r="26">
      <x:c r="A26" s="148" t="str">
        <x:v>CA3</x:v>
      </x:c>
      <x:c r="B26" s="148" t="str">
        <x:v>Kimbell capital allocation policy</x:v>
      </x:c>
      <x:c r="C26" s="148" t="str">
        <x:v>2025-12-31</x:v>
      </x:c>
      <x:c r="D26" s="86" t="str">
        <x:v>https://www.sec.gov/Archives/edgar/data/1657788/000110465926020477/krp-20251231x10k.htm</x:v>
      </x:c>
      <x:c r="E26" s="148" t="str">
        <x:v>Capital Allocation peer context</x:v>
      </x:c>
      <x:c r="F26" s="148" t="str">
        <x:v>25% of Q4 2025 cash available used for debt repayment; validates peer retention/capital-allocation discipline, not WHK deployment alpha.</x:v>
      </x:c>
    </x:row>
  </x:sheetData>
  <x:mergeCells>
    <x:mergeCell ref="A1:F1"/>
    <x:mergeCell ref="A19:F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9" hidden="0" customWidth="1"/>
    <x:col min="3" max="3" width="21" hidden="0" customWidth="1"/>
    <x:col min="4" max="4" width="22" hidden="0" customWidth="1"/>
    <x:col min="5" max="5" width="21" hidden="0" customWidth="1"/>
    <x:col min="6" max="6" width="21" hidden="0" customWidth="1"/>
    <x:col min="7" max="7" width="20" hidden="0" customWidth="1"/>
    <x:col min="8" max="8" width="46" hidden="0" customWidth="1"/>
    <x:col min="9" max="9" width="24" hidden="0" customWidth="1"/>
  </x:cols>
  <x:sheetData>
    <x:row r="1" ht="28" customHeight="1">
      <x:c r="A1" s="133" t="str">
        <x:v>Capital-Allocation Franchise Value - Separate from Existing Royalties</x:v>
      </x:c>
      <x:c r="B1" s="133" t="str">
        <x:v>Capital-Allocation Franchise Value - Separate from Existing Royalties</x:v>
      </x:c>
      <x:c r="C1" s="133" t="str">
        <x:v>Capital-Allocation Franchise Value - Separate from Existing Royalties</x:v>
      </x:c>
      <x:c r="D1" s="133" t="str">
        <x:v>Capital-Allocation Franchise Value - Separate from Existing Royalties</x:v>
      </x:c>
      <x:c r="E1" s="133" t="str">
        <x:v>Capital-Allocation Franchise Value - Separate from Existing Royalties</x:v>
      </x:c>
      <x:c r="F1" s="133" t="str">
        <x:v>Capital-Allocation Franchise Value - Separate from Existing Royalties</x:v>
      </x:c>
      <x:c r="G1" s="133" t="str">
        <x:v>Capital-Allocation Franchise Value - Separate from Existing Royalties</x:v>
      </x:c>
      <x:c r="H1" s="133" t="str">
        <x:v>Capital-Allocation Franchise Value - Separate from Existing Royalties</x:v>
      </x:c>
      <x:c r="I1" s="133" t="str">
        <x:v>Capital-Allocation Franchise Value - Separate from Existing Royalties</x:v>
      </x:c>
    </x:row>
    <x:row r="2">
      <x:c r="A2" s="137" t="str">
        <x:v>This is the excess value from future deployment, not the value of every acquired royalty. A $1 acquisition earns franchise value only if risk-adjusted NAV after financing and dilution exceeds the $1 purchase cost.</x:v>
      </x:c>
      <x:c r="B2" s="137" t="str">
        <x:v>This is the excess value from future deployment, not the value of every acquired royalty. A $1 acquisition earns franchise value only if risk-adjusted NAV after financing and dilution exceeds the $1 purchase cost.</x:v>
      </x:c>
      <x:c r="C2" s="137" t="str">
        <x:v>This is the excess value from future deployment, not the value of every acquired royalty. A $1 acquisition earns franchise value only if risk-adjusted NAV after financing and dilution exceeds the $1 purchase cost.</x:v>
      </x:c>
      <x:c r="D2" s="137" t="str">
        <x:v>This is the excess value from future deployment, not the value of every acquired royalty. A $1 acquisition earns franchise value only if risk-adjusted NAV after financing and dilution exceeds the $1 purchase cost.</x:v>
      </x:c>
      <x:c r="E2" s="137" t="str">
        <x:v>This is the excess value from future deployment, not the value of every acquired royalty. A $1 acquisition earns franchise value only if risk-adjusted NAV after financing and dilution exceeds the $1 purchase cost.</x:v>
      </x:c>
      <x:c r="F2" s="137" t="str">
        <x:v>This is the excess value from future deployment, not the value of every acquired royalty. A $1 acquisition earns franchise value only if risk-adjusted NAV after financing and dilution exceeds the $1 purchase cost.</x:v>
      </x:c>
      <x:c r="G2" s="137" t="str">
        <x:v>This is the excess value from future deployment, not the value of every acquired royalty. A $1 acquisition earns franchise value only if risk-adjusted NAV after financing and dilution exceeds the $1 purchase cost.</x:v>
      </x:c>
      <x:c r="H2" s="137" t="str">
        <x:v>This is the excess value from future deployment, not the value of every acquired royalty. A $1 acquisition earns franchise value only if risk-adjusted NAV after financing and dilution exceeds the $1 purchase cost.</x:v>
      </x:c>
      <x:c r="I2" s="137" t="str">
        <x:v>This is the excess value from future deployment, not the value of every acquired royalty. A $1 acquisition earns franchise value only if risk-adjusted NAV after financing and dilution exceeds the $1 purchase cost.</x:v>
      </x:c>
    </x:row>
    <x:row r="4">
      <x:c r="A4" s="141" t="str">
        <x:v>Active platform case - editable assumptions</x:v>
      </x:c>
      <x:c r="B4" s="141" t="str">
        <x:v>Active platform case - editable assumptions</x:v>
      </x:c>
      <x:c r="C4" s="141" t="str">
        <x:v>Active platform case - editable assumptions</x:v>
      </x:c>
      <x:c r="D4" s="141" t="str">
        <x:v>Active platform case - editable assumptions</x:v>
      </x:c>
      <x:c r="E4" s="141" t="str">
        <x:v>Active platform case - editable assumptions</x:v>
      </x:c>
      <x:c r="F4" s="141" t="str">
        <x:v>Active platform case - editable assumptions</x:v>
      </x:c>
      <x:c r="G4" s="141" t="str">
        <x:v>Active platform case - editable assumptions</x:v>
      </x:c>
      <x:c r="H4" s="141" t="str">
        <x:v>Active platform case - editable assumptions</x:v>
      </x:c>
      <x:c r="I4" s="141" t="str">
        <x:v>Active platform case - editable assumptions</x:v>
      </x:c>
    </x:row>
    <x:row r="5">
      <x:c r="A5" s="147" t="str">
        <x:v>Input</x:v>
      </x:c>
      <x:c r="B5" s="147" t="str">
        <x:v>Value</x:v>
      </x:c>
      <x:c r="C5" s="147" t="str">
        <x:v>Units</x:v>
      </x:c>
      <x:c r="D5" s="147" t="str">
        <x:v>Classification</x:v>
      </x:c>
      <x:c r="E5" s="147" t="str">
        <x:v>Source / evidence</x:v>
      </x:c>
      <x:c r="F5" s="147" t="str">
        <x:v>Interpretation</x:v>
      </x:c>
    </x:row>
    <x:row r="6">
      <x:c r="A6" s="148" t="str">
        <x:v>Retain existing PDP CAFD for acquisitions</x:v>
      </x:c>
      <x:c r="B6" s="150" t="n">
        <x:v>0.25</x:v>
      </x:c>
      <x:c r="C6" s="148" t="str">
        <x:v>% of annual attributable CAFD</x:v>
      </x:c>
      <x:c r="D6" s="148" t="str">
        <x:v>Judgment</x:v>
      </x:c>
      <x:c r="E6" s="148" t="str">
        <x:v>CA1 / peer context</x:v>
      </x:c>
      <x:c r="F6" s="148" t="str">
        <x:v>Uses only current PDP cash already valued in the base DCF; prevents double counting inventory cash flows</x:v>
      </x:c>
    </x:row>
    <x:row r="7">
      <x:c r="A7" s="148" t="str">
        <x:v>External acquisition capital per year</x:v>
      </x:c>
      <x:c r="B7" s="151" t="n">
        <x:v>50</x:v>
      </x:c>
      <x:c r="C7" s="148" t="str">
        <x:v>USD million</x:v>
      </x:c>
      <x:c r="D7" s="148" t="str">
        <x:v>Scenario judgment</x:v>
      </x:c>
      <x:c r="E7" s="148" t="str">
        <x:v>CA1, CA2, CA3</x:v>
      </x:c>
      <x:c r="F7" s="148" t="str">
        <x:v>Must be net of debt, equity dilution and financing costs when validating the scenario</x:v>
      </x:c>
    </x:row>
    <x:row r="8">
      <x:c r="A8" s="148" t="str">
        <x:v>Competitive-advantage period</x:v>
      </x:c>
      <x:c r="B8" s="152" t="n">
        <x:v>10</x:v>
      </x:c>
      <x:c r="C8" s="148" t="str">
        <x:v>years</x:v>
      </x:c>
      <x:c r="D8" s="148" t="str">
        <x:v>Judgment</x:v>
      </x:c>
      <x:c r="E8" s="148" t="str">
        <x:v>CA1, CA2, CA3</x:v>
      </x:c>
      <x:c r="F8" s="148" t="str">
        <x:v>Finite period; no terminal franchise multiple</x:v>
      </x:c>
    </x:row>
    <x:row r="9">
      <x:c r="A9" s="148" t="str">
        <x:v>Net NPV created per purchase dollar</x:v>
      </x:c>
      <x:c r="B9" s="150" t="n">
        <x:v>0.15</x:v>
      </x:c>
      <x:c r="C9" s="148" t="str">
        <x:v>% of deployed capital</x:v>
      </x:c>
      <x:c r="D9" s="148" t="str">
        <x:v>Key judgment</x:v>
      </x:c>
      <x:c r="E9" s="148" t="str">
        <x:v>Not directly disclosed</x:v>
      </x:c>
      <x:c r="F9" s="148" t="str">
        <x:v>Risk-adjusted NAV less purchase price, financing cost, taxes and dilution; this is not acquisition gross IRR</x:v>
      </x:c>
    </x:row>
    <x:row r="10">
      <x:c r="A10" s="148" t="str">
        <x:v>First acquisition year</x:v>
      </x:c>
      <x:c r="B10" s="152" t="n">
        <x:v>2027</x:v>
      </x:c>
      <x:c r="C10" s="148" t="str">
        <x:v>year</x:v>
      </x:c>
      <x:c r="D10" s="148" t="str">
        <x:v>Assumption</x:v>
      </x:c>
      <x:c r="E10" s="148" t="str">
        <x:v>Model convention</x:v>
      </x:c>
      <x:c r="F10" s="148" t="str">
        <x:v>One-year lag from valuation date</x:v>
      </x:c>
    </x:row>
    <x:row r="11">
      <x:c r="A11" s="148" t="str">
        <x:v>Historical execution indicator</x:v>
      </x:c>
      <x:c r="B11" s="148" t="str">
        <x:v>8 acquisitions / 49 monthly dividends</x:v>
      </x:c>
      <x:c r="C11" s="148" t="str">
        <x:v>text</x:v>
      </x:c>
      <x:c r="D11" s="148" t="str">
        <x:v>Filing fact</x:v>
      </x:c>
      <x:c r="E11" s="148" t="str">
        <x:v>CA1</x:v>
      </x:c>
      <x:c r="F11" s="148" t="str">
        <x:v>Supports a non-zero platform concept but does not prove a 15% net NPV spread</x:v>
      </x:c>
    </x:row>
    <x:row r="13">
      <x:c r="A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B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C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D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E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F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G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H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I13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</x:row>
    <x:row r="14">
      <x:c r="A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B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C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D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E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F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G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H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  <x:c r="I14" s="155" t="str">
        <x:v>Why margins matter: the royalty business’s low capital intensity and high cash conversion are captured in CAFD. They create reinvestment capacity; they do not independently justify a second “high-margin multiple.” This schedule assigns value only to the after-financing excess NPV earned when that capacity is deployed.</x:v>
      </x:c>
    </x:row>
    <x:row r="16">
      <x:c r="A16" s="141" t="str">
        <x:v>Finite franchise-NPV schedule</x:v>
      </x:c>
      <x:c r="B16" s="141" t="str">
        <x:v>Finite franchise-NPV schedule</x:v>
      </x:c>
      <x:c r="C16" s="141" t="str">
        <x:v>Finite franchise-NPV schedule</x:v>
      </x:c>
      <x:c r="D16" s="141" t="str">
        <x:v>Finite franchise-NPV schedule</x:v>
      </x:c>
      <x:c r="E16" s="141" t="str">
        <x:v>Finite franchise-NPV schedule</x:v>
      </x:c>
      <x:c r="F16" s="141" t="str">
        <x:v>Finite franchise-NPV schedule</x:v>
      </x:c>
      <x:c r="G16" s="141" t="str">
        <x:v>Finite franchise-NPV schedule</x:v>
      </x:c>
      <x:c r="H16" s="141" t="str">
        <x:v>Finite franchise-NPV schedule</x:v>
      </x:c>
      <x:c r="I16" s="141" t="str">
        <x:v>Finite franchise-NPV schedule</x:v>
      </x:c>
    </x:row>
    <x:row r="17">
      <x:c r="A17" s="147" t="str">
        <x:v>Year</x:v>
      </x:c>
      <x:c r="B17" s="147" t="str">
        <x:v>Attributable existing PDP cash</x:v>
      </x:c>
      <x:c r="C17" s="147" t="str">
        <x:v>Internal capital retained</x:v>
      </x:c>
      <x:c r="D17" s="147" t="str">
        <x:v>External acquisition capital</x:v>
      </x:c>
      <x:c r="E17" s="147" t="str">
        <x:v>Total acquisition capital</x:v>
      </x:c>
      <x:c r="F17" s="147" t="str">
        <x:v>Discount factor</x:v>
      </x:c>
      <x:c r="G17" s="147" t="str">
        <x:v>PV capital deployed</x:v>
      </x:c>
      <x:c r="H17" s="147" t="str">
        <x:v>Net NPV spread</x:v>
      </x:c>
      <x:c r="I17" s="147" t="str">
        <x:v>PV franchise value created</x:v>
      </x:c>
    </x:row>
    <x:row r="18">
      <x:c r="A18" s="148" t="n">
        <x:v>2027</x:v>
      </x:c>
      <x:c r="B18" s="35" t="n">
        <x:f>'Inputs'!$B$29*'Inputs'!$B$8*(1-'Inputs'!$B$16)^(A18-2026)</x:f>
        <x:v>16.140815938435</x:v>
      </x:c>
      <x:c r="C18" s="35" t="n">
        <x:f>B18*$B$6</x:f>
        <x:v>4.03520398460875</x:v>
      </x:c>
      <x:c r="D18" s="35" t="n">
        <x:f>$B$7</x:f>
        <x:v>50</x:v>
      </x:c>
      <x:c r="E18" s="35" t="n">
        <x:f>SUM(C18:D18)</x:f>
        <x:v>54.03520398460875</x:v>
      </x:c>
      <x:c r="F18" s="47" t="n">
        <x:f>1/(1+'Inputs'!$B$17)^(A18-2026)</x:f>
        <x:v>0.9090909090909091</x:v>
      </x:c>
      <x:c r="G18" s="35" t="n">
        <x:f>E18*F18</x:f>
        <x:v>49.12291271328068</x:v>
      </x:c>
      <x:c r="H18" s="66" t="n">
        <x:f>$B$9</x:f>
        <x:v>0.15</x:v>
      </x:c>
      <x:c r="I18" s="35" t="n">
        <x:f>G18*H18</x:f>
        <x:v>7.368436906992101</x:v>
      </x:c>
    </x:row>
    <x:row r="19">
      <x:c r="A19" s="148" t="n">
        <x:v>2028</x:v>
      </x:c>
      <x:c r="B19" s="35" t="n">
        <x:f>'Inputs'!$B$29*'Inputs'!$B$8*(1-'Inputs'!$B$16)^(A19-2026)</x:f>
        <x:v>13.961805786746275</x:v>
      </x:c>
      <x:c r="C19" s="35" t="n">
        <x:f>B19*$B$6</x:f>
        <x:v>3.490451446686569</x:v>
      </x:c>
      <x:c r="D19" s="35" t="n">
        <x:f>$B$7</x:f>
        <x:v>50</x:v>
      </x:c>
      <x:c r="E19" s="35" t="n">
        <x:f>SUM(C19:D19)</x:f>
        <x:v>53.49045144668657</x:v>
      </x:c>
      <x:c r="F19" s="47" t="n">
        <x:f>1/(1+'Inputs'!$B$17)^(A19-2026)</x:f>
        <x:v>0.8264462809917354</x:v>
      </x:c>
      <x:c r="G19" s="35" t="n">
        <x:f>E19*F19</x:f>
        <x:v>44.20698466668311</x:v>
      </x:c>
      <x:c r="H19" s="66" t="n">
        <x:f>$B$9</x:f>
        <x:v>0.15</x:v>
      </x:c>
      <x:c r="I19" s="35" t="n">
        <x:f>G19*H19</x:f>
        <x:v>6.631047700002466</x:v>
      </x:c>
    </x:row>
    <x:row r="20">
      <x:c r="A20" s="148" t="n">
        <x:v>2029</x:v>
      </x:c>
      <x:c r="B20" s="35" t="n">
        <x:f>'Inputs'!$B$29*'Inputs'!$B$8*(1-'Inputs'!$B$16)^(A20-2026)</x:f>
        <x:v>12.076962005535526</x:v>
      </x:c>
      <x:c r="C20" s="35" t="n">
        <x:f>B20*$B$6</x:f>
        <x:v>3.0192405013838814</x:v>
      </x:c>
      <x:c r="D20" s="35" t="n">
        <x:f>$B$7</x:f>
        <x:v>50</x:v>
      </x:c>
      <x:c r="E20" s="35" t="n">
        <x:f>SUM(C20:D20)</x:f>
        <x:v>53.019240501383884</x:v>
      </x:c>
      <x:c r="F20" s="47" t="n">
        <x:f>1/(1+'Inputs'!$B$17)^(A20-2026)</x:f>
        <x:v>0.7513148009015775</x:v>
      </x:c>
      <x:c r="G20" s="35" t="n">
        <x:f>E20*F20</x:f>
        <x:v>39.83414012125009</x:v>
      </x:c>
      <x:c r="H20" s="66" t="n">
        <x:f>$B$9</x:f>
        <x:v>0.15</x:v>
      </x:c>
      <x:c r="I20" s="35" t="n">
        <x:f>G20*H20</x:f>
        <x:v>5.9751210181875125</x:v>
      </x:c>
    </x:row>
    <x:row r="21">
      <x:c r="A21" s="148" t="n">
        <x:v>2030</x:v>
      </x:c>
      <x:c r="B21" s="35" t="n">
        <x:f>'Inputs'!$B$29*'Inputs'!$B$8*(1-'Inputs'!$B$16)^(A21-2026)</x:f>
        <x:v>10.44657213478823</x:v>
      </x:c>
      <x:c r="C21" s="35" t="n">
        <x:f>B21*$B$6</x:f>
        <x:v>2.6116430336970575</x:v>
      </x:c>
      <x:c r="D21" s="35" t="n">
        <x:f>$B$7</x:f>
        <x:v>50</x:v>
      </x:c>
      <x:c r="E21" s="35" t="n">
        <x:f>SUM(C21:D21)</x:f>
        <x:v>52.61164303369706</x:v>
      </x:c>
      <x:c r="F21" s="47" t="n">
        <x:f>1/(1+'Inputs'!$B$17)^(A21-2026)</x:f>
        <x:v>0.6830134553650705</x:v>
      </x:c>
      <x:c r="G21" s="35" t="n">
        <x:f>E21*F21</x:f>
        <x:v>35.934460100879065</x:v>
      </x:c>
      <x:c r="H21" s="66" t="n">
        <x:f>$B$9</x:f>
        <x:v>0.15</x:v>
      </x:c>
      <x:c r="I21" s="35" t="n">
        <x:f>G21*H21</x:f>
        <x:v>5.3901690151318595</x:v>
      </x:c>
    </x:row>
    <x:row r="22">
      <x:c r="A22" s="148" t="n">
        <x:v>2031</x:v>
      </x:c>
      <x:c r="B22" s="35" t="n">
        <x:f>'Inputs'!$B$29*'Inputs'!$B$8*(1-'Inputs'!$B$16)^(A22-2026)</x:f>
        <x:v>9.03628489659182</x:v>
      </x:c>
      <x:c r="C22" s="35" t="n">
        <x:f>B22*$B$6</x:f>
        <x:v>2.259071224147955</x:v>
      </x:c>
      <x:c r="D22" s="35" t="n">
        <x:f>$B$7</x:f>
        <x:v>50</x:v>
      </x:c>
      <x:c r="E22" s="35" t="n">
        <x:f>SUM(C22:D22)</x:f>
        <x:v>52.25907122414795</x:v>
      </x:c>
      <x:c r="F22" s="47" t="n">
        <x:f>1/(1+'Inputs'!$B$17)^(A22-2026)</x:f>
        <x:v>0.6209213230591549</x:v>
      </x:c>
      <x:c r="G22" s="35" t="n">
        <x:f>E22*F22</x:f>
        <x:v>32.44877164634056</x:v>
      </x:c>
      <x:c r="H22" s="66" t="n">
        <x:f>$B$9</x:f>
        <x:v>0.15</x:v>
      </x:c>
      <x:c r="I22" s="35" t="n">
        <x:f>G22*H22</x:f>
        <x:v>4.867315746951084</x:v>
      </x:c>
    </x:row>
    <x:row r="23">
      <x:c r="A23" s="148" t="n">
        <x:v>2032</x:v>
      </x:c>
      <x:c r="B23" s="35" t="n">
        <x:f>'Inputs'!$B$29*'Inputs'!$B$8*(1-'Inputs'!$B$16)^(A23-2026)</x:f>
        <x:v>7.816386435551924</x:v>
      </x:c>
      <x:c r="C23" s="35" t="n">
        <x:f>B23*$B$6</x:f>
        <x:v>1.954096608887981</x:v>
      </x:c>
      <x:c r="D23" s="35" t="n">
        <x:f>$B$7</x:f>
        <x:v>50</x:v>
      </x:c>
      <x:c r="E23" s="35" t="n">
        <x:f>SUM(C23:D23)</x:f>
        <x:v>51.95409660888798</x:v>
      </x:c>
      <x:c r="F23" s="47" t="n">
        <x:f>1/(1+'Inputs'!$B$17)^(A23-2026)</x:f>
        <x:v>0.5644739300537772</x:v>
      </x:c>
      <x:c r="G23" s="35" t="n">
        <x:f>E23*F23</x:f>
        <x:v>29.326733095212617</x:v>
      </x:c>
      <x:c r="H23" s="66" t="n">
        <x:f>$B$9</x:f>
        <x:v>0.15</x:v>
      </x:c>
      <x:c r="I23" s="35" t="n">
        <x:f>G23*H23</x:f>
        <x:v>4.399009964281892</x:v>
      </x:c>
    </x:row>
    <x:row r="24">
      <x:c r="A24" s="148" t="n">
        <x:v>2033</x:v>
      </x:c>
      <x:c r="B24" s="35" t="n">
        <x:f>'Inputs'!$B$29*'Inputs'!$B$8*(1-'Inputs'!$B$16)^(A24-2026)</x:f>
        <x:v>6.7611742667524135</x:v>
      </x:c>
      <x:c r="C24" s="35" t="n">
        <x:f>B24*$B$6</x:f>
        <x:v>1.6902935666881034</x:v>
      </x:c>
      <x:c r="D24" s="35" t="n">
        <x:f>$B$7</x:f>
        <x:v>50</x:v>
      </x:c>
      <x:c r="E24" s="35" t="n">
        <x:f>SUM(C24:D24)</x:f>
        <x:v>51.690293566688105</x:v>
      </x:c>
      <x:c r="F24" s="47" t="n">
        <x:f>1/(1+'Inputs'!$B$17)^(A24-2026)</x:f>
        <x:v>0.5131581182307065</x:v>
      </x:c>
      <x:c r="G24" s="35" t="n">
        <x:f>E24*F24</x:f>
        <x:v>26.52529377747446</x:v>
      </x:c>
      <x:c r="H24" s="66" t="n">
        <x:f>$B$9</x:f>
        <x:v>0.15</x:v>
      </x:c>
      <x:c r="I24" s="35" t="n">
        <x:f>G24*H24</x:f>
        <x:v>3.9787940666211687</x:v>
      </x:c>
    </x:row>
    <x:row r="25">
      <x:c r="A25" s="148" t="n">
        <x:v>2034</x:v>
      </x:c>
      <x:c r="B25" s="35" t="n">
        <x:f>'Inputs'!$B$29*'Inputs'!$B$8*(1-'Inputs'!$B$16)^(A25-2026)</x:f>
        <x:v>5.848415740740838</x:v>
      </x:c>
      <x:c r="C25" s="35" t="n">
        <x:f>B25*$B$6</x:f>
        <x:v>1.4621039351852094</x:v>
      </x:c>
      <x:c r="D25" s="35" t="n">
        <x:f>$B$7</x:f>
        <x:v>50</x:v>
      </x:c>
      <x:c r="E25" s="35" t="n">
        <x:f>SUM(C25:D25)</x:f>
        <x:v>51.46210393518521</x:v>
      </x:c>
      <x:c r="F25" s="47" t="n">
        <x:f>1/(1+'Inputs'!$B$17)^(A25-2026)</x:f>
        <x:v>0.4665073802097331</x:v>
      </x:c>
      <x:c r="G25" s="35" t="n">
        <x:f>E25*F25</x:f>
        <x:v>24.007451286884248</x:v>
      </x:c>
      <x:c r="H25" s="66" t="n">
        <x:f>$B$9</x:f>
        <x:v>0.15</x:v>
      </x:c>
      <x:c r="I25" s="35" t="n">
        <x:f>G25*H25</x:f>
        <x:v>3.601117693032637</x:v>
      </x:c>
    </x:row>
    <x:row r="26">
      <x:c r="A26" s="148" t="n">
        <x:v>2035</x:v>
      </x:c>
      <x:c r="B26" s="35" t="n">
        <x:f>'Inputs'!$B$29*'Inputs'!$B$8*(1-'Inputs'!$B$16)^(A26-2026)</x:f>
        <x:v>5.058879615740825</x:v>
      </x:c>
      <x:c r="C26" s="35" t="n">
        <x:f>B26*$B$6</x:f>
        <x:v>1.2647199039352062</x:v>
      </x:c>
      <x:c r="D26" s="35" t="n">
        <x:f>$B$7</x:f>
        <x:v>50</x:v>
      </x:c>
      <x:c r="E26" s="35" t="n">
        <x:f>SUM(C26:D26)</x:f>
        <x:v>51.26471990393521</x:v>
      </x:c>
      <x:c r="F26" s="47" t="n">
        <x:f>1/(1+'Inputs'!$B$17)^(A26-2026)</x:f>
        <x:v>0.42409761837248455</x:v>
      </x:c>
      <x:c r="G26" s="35" t="n">
        <x:f>E26*F26</x:f>
        <x:v>21.741245617791428</x:v>
      </x:c>
      <x:c r="H26" s="66" t="n">
        <x:f>$B$9</x:f>
        <x:v>0.15</x:v>
      </x:c>
      <x:c r="I26" s="35" t="n">
        <x:f>G26*H26</x:f>
        <x:v>3.2611868426687143</x:v>
      </x:c>
    </x:row>
    <x:row r="27">
      <x:c r="A27" s="148" t="n">
        <x:v>2036</x:v>
      </x:c>
      <x:c r="B27" s="35" t="n">
        <x:f>'Inputs'!$B$29*'Inputs'!$B$8*(1-'Inputs'!$B$16)^(A27-2026)</x:f>
        <x:v>4.375930867615813</x:v>
      </x:c>
      <x:c r="C27" s="35" t="n">
        <x:f>B27*$B$6</x:f>
        <x:v>1.0939827169039533</x:v>
      </x:c>
      <x:c r="D27" s="35" t="n">
        <x:f>$B$7</x:f>
        <x:v>50</x:v>
      </x:c>
      <x:c r="E27" s="35" t="n">
        <x:f>SUM(C27:D27)</x:f>
        <x:v>51.09398271690395</x:v>
      </x:c>
      <x:c r="F27" s="47" t="n">
        <x:f>1/(1+'Inputs'!$B$17)^(A27-2026)</x:f>
        <x:v>0.3855432894295314</x:v>
      </x:c>
      <x:c r="G27" s="35" t="n">
        <x:f>E27*F27</x:f>
        <x:v>19.698942166730777</x:v>
      </x:c>
      <x:c r="H27" s="66" t="n">
        <x:f>$B$9</x:f>
        <x:v>0.15</x:v>
      </x:c>
      <x:c r="I27" s="35" t="n">
        <x:f>G27*H27</x:f>
        <x:v>2.9548413250096166</x:v>
      </x:c>
    </x:row>
    <x:row r="29">
      <x:c r="A29" s="141" t="str">
        <x:v>Capital-allocation value output</x:v>
      </x:c>
      <x:c r="B29" s="141" t="str">
        <x:v>Capital-allocation value output</x:v>
      </x:c>
      <x:c r="C29" s="141" t="str">
        <x:v>Capital-allocation value output</x:v>
      </x:c>
      <x:c r="D29" s="141" t="str">
        <x:v>Capital-allocation value output</x:v>
      </x:c>
      <x:c r="E29" s="141" t="str">
        <x:v>Capital-allocation value output</x:v>
      </x:c>
      <x:c r="F29" s="141" t="str">
        <x:v>Capital-allocation value output</x:v>
      </x:c>
      <x:c r="G29" s="141" t="str">
        <x:v>Capital-allocation value output</x:v>
      </x:c>
      <x:c r="H29" s="141" t="str">
        <x:v>Capital-allocation value output</x:v>
      </x:c>
      <x:c r="I29" s="141" t="str">
        <x:v>Capital-allocation value output</x:v>
      </x:c>
    </x:row>
    <x:row r="30">
      <x:c r="A30" s="148" t="str">
        <x:v>PV of internal capital deployed</x:v>
      </x:c>
      <x:c r="B30" s="35" t="n">
        <x:f>SUMPRODUCT(C18:C27,F18:F27)</x:f>
        <x:v>15.618579907293023</x:v>
      </x:c>
      <x:c r="C30" s="148" t="str">
        <x:v>USD million</x:v>
      </x:c>
      <x:c r="D30" s="148" t="str">
        <x:v>Existing-PDP cash retained</x:v>
      </x:c>
    </x:row>
    <x:row r="31">
      <x:c r="A31" s="148" t="str">
        <x:v>PV of external acquisition capital</x:v>
      </x:c>
      <x:c r="B31" s="35" t="n">
        <x:f>SUMPRODUCT(D18:D27,F18:F27)</x:f>
        <x:v>307.228355285234</x:v>
      </x:c>
      <x:c r="C31" s="148" t="str">
        <x:v>USD million</x:v>
      </x:c>
      <x:c r="D31" s="148" t="str">
        <x:v>Scenario capital; must clear financing/dilution test</x:v>
      </x:c>
    </x:row>
    <x:row r="32">
      <x:c r="A32" s="148" t="str">
        <x:v>PV of total acquisition capital</x:v>
      </x:c>
      <x:c r="B32" s="35" t="n">
        <x:f>SUM(G18:G27)</x:f>
        <x:v>322.84693519252704</x:v>
      </x:c>
      <x:c r="C32" s="148" t="str">
        <x:v>USD million</x:v>
      </x:c>
      <x:c r="D32" s="148" t="str">
        <x:v>Internal plus external</x:v>
      </x:c>
    </x:row>
    <x:row r="33">
      <x:c r="A33" s="148" t="str">
        <x:v>Capital-allocation franchise value / Class A share</x:v>
      </x:c>
      <x:c r="B33" s="36" t="n">
        <x:f>SUM(I18:I27)/'Inputs'!$B$7</x:f>
        <x:v>2.105836710707234</x:v>
      </x:c>
      <x:c r="C33" s="148" t="str">
        <x:v>USD/share</x:v>
      </x:c>
      <x:c r="D33" s="148" t="str">
        <x:v>PV of excess NPV only; active output</x:v>
      </x:c>
    </x:row>
    <x:row r="35">
      <x:c r="A35" s="141" t="str">
        <x:v>Optionality scenarios - all formula-driven</x:v>
      </x:c>
      <x:c r="B35" s="141" t="str">
        <x:v>Optionality scenarios - all formula-driven</x:v>
      </x:c>
      <x:c r="C35" s="141" t="str">
        <x:v>Optionality scenarios - all formula-driven</x:v>
      </x:c>
      <x:c r="D35" s="141" t="str">
        <x:v>Optionality scenarios - all formula-driven</x:v>
      </x:c>
      <x:c r="E35" s="141" t="str">
        <x:v>Optionality scenarios - all formula-driven</x:v>
      </x:c>
      <x:c r="F35" s="141" t="str">
        <x:v>Optionality scenarios - all formula-driven</x:v>
      </x:c>
      <x:c r="G35" s="141" t="str">
        <x:v>Optionality scenarios - all formula-driven</x:v>
      </x:c>
      <x:c r="H35" s="141" t="str">
        <x:v>Optionality scenarios - all formula-driven</x:v>
      </x:c>
      <x:c r="I35" s="141" t="str">
        <x:v>Optionality scenarios - all formula-driven</x:v>
      </x:c>
    </x:row>
    <x:row r="36">
      <x:c r="A36" s="147" t="str">
        <x:v>Scenario</x:v>
      </x:c>
      <x:c r="B36" s="147" t="str">
        <x:v>Internal retention</x:v>
      </x:c>
      <x:c r="C36" s="147" t="str">
        <x:v>External capital / year</x:v>
      </x:c>
      <x:c r="D36" s="147" t="str">
        <x:v>Net NPV / purchase dollar</x:v>
      </x:c>
      <x:c r="E36" s="147" t="str">
        <x:v>PV internal capital</x:v>
      </x:c>
      <x:c r="F36" s="147" t="str">
        <x:v>PV external capital</x:v>
      </x:c>
      <x:c r="G36" s="147" t="str">
        <x:v>Franchise value / share</x:v>
      </x:c>
      <x:c r="H36" s="147" t="str">
        <x:v>Interpretation</x:v>
      </x:c>
    </x:row>
    <x:row r="37">
      <x:c r="A37" s="148" t="str">
        <x:v>No franchise premium</x:v>
      </x:c>
      <x:c r="B37" s="150" t="n">
        <x:v>0</x:v>
      </x:c>
      <x:c r="C37" s="151" t="n">
        <x:v>0</x:v>
      </x:c>
      <x:c r="D37" s="150" t="n">
        <x:v>0</x:v>
      </x:c>
      <x:c r="E37" s="35" t="n">
        <x:f>SUMPRODUCT($B$18:$B$27,$F$18:$F$27)*B37</x:f>
        <x:v>0</x:v>
      </x:c>
      <x:c r="F37" s="35" t="n">
        <x:f>SUM($F$18:$F$27)*C37</x:f>
        <x:v>0</x:v>
      </x:c>
      <x:c r="G37" s="36" t="n">
        <x:f>(E37+F37)*D37/'Inputs'!$B$7</x:f>
        <x:v>0</x:v>
      </x:c>
      <x:c r="H37" s="148" t="str">
        <x:v>No evidence of persistent excess returns</x:v>
      </x:c>
    </x:row>
    <x:row r="38">
      <x:c r="A38" s="148" t="str">
        <x:v>Internal cash only</x:v>
      </x:c>
      <x:c r="B38" s="150" t="n">
        <x:v>0.25</x:v>
      </x:c>
      <x:c r="C38" s="151" t="n">
        <x:v>0</x:v>
      </x:c>
      <x:c r="D38" s="150" t="n">
        <x:v>0.15</x:v>
      </x:c>
      <x:c r="E38" s="35" t="n">
        <x:f>SUMPRODUCT($B$18:$B$27,$F$18:$F$27)*B38</x:f>
        <x:v>15.618579907293023</x:v>
      </x:c>
      <x:c r="F38" s="35" t="n">
        <x:f>SUM($F$18:$F$27)*C38</x:f>
        <x:v>0</x:v>
      </x:c>
      <x:c r="G38" s="36" t="n">
        <x:f>(E38+F38)*D38/'Inputs'!$B$7</x:f>
        <x:v>0.10187545661004418</x:v>
      </x:c>
      <x:c r="H38" s="148" t="str">
        <x:v>Only cash generated by existing PDP book earns a spread</x:v>
      </x:c>
    </x:row>
    <x:row r="39">
      <x:c r="A39" s="148" t="str">
        <x:v>Active platform case</x:v>
      </x:c>
      <x:c r="B39" s="150" t="n">
        <x:v>0.25</x:v>
      </x:c>
      <x:c r="C39" s="151" t="n">
        <x:v>50</x:v>
      </x:c>
      <x:c r="D39" s="150" t="n">
        <x:v>0.15</x:v>
      </x:c>
      <x:c r="E39" s="35" t="n">
        <x:f>SUMPRODUCT($B$18:$B$27,$F$18:$F$27)*B39</x:f>
        <x:v>15.618579907293023</x:v>
      </x:c>
      <x:c r="F39" s="35" t="n">
        <x:f>SUM($F$18:$F$27)*C39</x:f>
        <x:v>307.22835528523404</x:v>
      </x:c>
      <x:c r="G39" s="36" t="n">
        <x:f>(E39+F39)*D39/'Inputs'!$B$7</x:f>
        <x:v>2.105836710707234</x:v>
      </x:c>
      <x:c r="H39" s="148" t="str">
        <x:v>Finite platform case; net of financing/dilution required</x:v>
      </x:c>
    </x:row>
    <x:row r="40">
      <x:c r="A40" s="148" t="str">
        <x:v>Scaled franchise case</x:v>
      </x:c>
      <x:c r="B40" s="150" t="n">
        <x:v>0.4</x:v>
      </x:c>
      <x:c r="C40" s="151" t="n">
        <x:v>100</x:v>
      </x:c>
      <x:c r="D40" s="150" t="n">
        <x:v>0.25</x:v>
      </x:c>
      <x:c r="E40" s="35" t="n">
        <x:f>SUMPRODUCT($B$18:$B$27,$F$18:$F$27)*B40</x:f>
        <x:v>24.98972785166884</x:v>
      </x:c>
      <x:c r="F40" s="35" t="n">
        <x:f>SUM($F$18:$F$27)*C40</x:f>
        <x:v>614.4567105704681</x:v>
      </x:c>
      <x:c r="G40" s="36" t="n">
        <x:f>(E40+F40)*D40/'Inputs'!$B$7</x:f>
        <x:v>6.951538731284084</x:v>
      </x:c>
      <x:c r="H40" s="148" t="str">
        <x:v>Requires scale plus persistent 25% excess NAV; not a base-case conclusion</x:v>
      </x:c>
    </x:row>
    <x:row r="42">
      <x:c r="A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B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C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D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E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F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G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H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I42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</x:row>
    <x:row r="43">
      <x:c r="A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B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C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D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E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F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G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H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  <x:c r="I43" s="160" t="str">
        <x:v>Critical discipline: “growth” is not automatically value. At a 15% net NPV spread, closing the current active-model gap would require roughly $354m of external acquisition capital every year for ten years (before considering capacity limits), or materially higher and persistent per-dollar value creation. This is why the franchise needs its own evidence and cannot be valued with a blanket premium.</x:v>
      </x:c>
    </x:row>
    <x:row r="45">
      <x:c r="A45" s="161" t="str">
        <x:v>Active model link</x:v>
      </x:c>
      <x:c r="B45" s="161"/>
      <x:c r="C45" s="161"/>
      <x:c r="D45" s="161"/>
      <x:c r="E45" s="161"/>
      <x:c r="F45" s="161"/>
      <x:c r="G45" s="161"/>
      <x:c r="H45" s="161"/>
      <x:c r="I45" s="161"/>
    </x:row>
    <x:row r="46">
      <x:c r="A46" s="148" t="str">
        <x:v>Capital-allocation franchise value / share</x:v>
      </x:c>
      <x:c r="B46" s="36" t="n">
        <x:f>B33</x:f>
        <x:v>2.105836710707234</x:v>
      </x:c>
      <x:c r="C46" s="148" t="str">
        <x:v>Links to Inputs and all active valuation outputs</x:v>
      </x:c>
    </x:row>
  </x:sheetData>
  <x:mergeCells>
    <x:mergeCell ref="A1:I1"/>
    <x:mergeCell ref="A2:I2"/>
    <x:mergeCell ref="A4:I4"/>
    <x:mergeCell ref="A13:I14"/>
    <x:mergeCell ref="A16:I16"/>
    <x:mergeCell ref="A29:I29"/>
    <x:mergeCell ref="A35:I35"/>
    <x:mergeCell ref="A42:I43"/>
  </x:mergeCells>
  <x:pageMargins left="0.7" right="0.7" top="0.75" bottom="0.75" header="0.3" footer="0.3"/>
</x:worksheet>
</file>